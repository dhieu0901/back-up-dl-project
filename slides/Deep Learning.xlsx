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\DL Project\slides\"/>
    </mc:Choice>
  </mc:AlternateContent>
  <xr:revisionPtr revIDLastSave="0" documentId="13_ncr:1_{D2746F7E-F247-40D0-88DB-51D1DB06C7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ổng quan" sheetId="1" r:id="rId1"/>
    <sheet name="Kế hoạch 10 ngày" sheetId="2" r:id="rId2"/>
  </sheets>
  <definedNames>
    <definedName name="Z_A72BD8DC_F034_4871_B377_26C45C6A3199_.wvu.FilterData" localSheetId="1" hidden="1">'Kế hoạch 10 ngày'!$A$5:$N$78</definedName>
  </definedNames>
  <calcPr calcId="191029"/>
  <customWorkbookViews>
    <customWorkbookView name="ProjectTasks filter view" guid="{A72BD8DC-F034-4871-B377-26C45C6A319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21" i="1"/>
  <c r="F20" i="1"/>
  <c r="F19" i="1"/>
  <c r="J7" i="1"/>
  <c r="D7" i="1"/>
  <c r="A7" i="1"/>
  <c r="M6" i="2"/>
  <c r="E19" i="1" s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E20" i="1" s="1"/>
  <c r="G20" i="1" s="1"/>
  <c r="M21" i="2"/>
  <c r="E21" i="1" s="1"/>
  <c r="G21" i="1" s="1"/>
  <c r="M22" i="2"/>
  <c r="M23" i="2"/>
  <c r="M24" i="2"/>
  <c r="M25" i="2"/>
  <c r="G7" i="1" s="1"/>
  <c r="M26" i="2"/>
  <c r="M27" i="2"/>
  <c r="M28" i="2"/>
  <c r="M29" i="2"/>
  <c r="M30" i="2"/>
  <c r="E22" i="1" s="1"/>
  <c r="G22" i="1" s="1"/>
  <c r="M31" i="2"/>
  <c r="M32" i="2"/>
  <c r="M33" i="2"/>
  <c r="M34" i="2"/>
  <c r="M35" i="2"/>
  <c r="M36" i="2"/>
  <c r="M37" i="2"/>
  <c r="E23" i="1" s="1"/>
  <c r="G23" i="1" s="1"/>
  <c r="M38" i="2"/>
  <c r="M39" i="2"/>
  <c r="M40" i="2"/>
  <c r="M41" i="2"/>
  <c r="M42" i="2"/>
  <c r="M43" i="2"/>
  <c r="E24" i="1" s="1"/>
  <c r="G24" i="1" s="1"/>
  <c r="M44" i="2"/>
  <c r="M45" i="2"/>
  <c r="M46" i="2"/>
  <c r="M47" i="2"/>
  <c r="M48" i="2"/>
  <c r="E25" i="1" s="1"/>
  <c r="G25" i="1" s="1"/>
  <c r="M49" i="2"/>
  <c r="M50" i="2"/>
  <c r="M51" i="2"/>
  <c r="M52" i="2"/>
  <c r="M53" i="2"/>
  <c r="M54" i="2"/>
  <c r="M55" i="2"/>
  <c r="M56" i="2"/>
  <c r="M57" i="2"/>
  <c r="M58" i="2"/>
  <c r="E26" i="1" s="1"/>
  <c r="G26" i="1" s="1"/>
  <c r="M59" i="2"/>
  <c r="M60" i="2"/>
  <c r="M61" i="2"/>
  <c r="E27" i="1" s="1"/>
  <c r="G27" i="1" s="1"/>
  <c r="M62" i="2"/>
  <c r="M63" i="2"/>
  <c r="M64" i="2"/>
  <c r="M65" i="2"/>
  <c r="M66" i="2"/>
  <c r="M67" i="2"/>
  <c r="M68" i="2"/>
  <c r="M69" i="2"/>
  <c r="M70" i="2"/>
  <c r="E28" i="1" s="1"/>
  <c r="G28" i="1" s="1"/>
  <c r="M71" i="2"/>
  <c r="M72" i="2"/>
  <c r="M73" i="2"/>
  <c r="M74" i="2"/>
  <c r="M75" i="2"/>
  <c r="M76" i="2"/>
  <c r="M77" i="2"/>
  <c r="M78" i="2"/>
  <c r="G19" i="1" l="1"/>
</calcChain>
</file>

<file path=xl/sharedStrings.xml><?xml version="1.0" encoding="utf-8"?>
<sst xmlns="http://schemas.openxmlformats.org/spreadsheetml/2006/main" count="918" uniqueCount="429">
  <si>
    <t>DEEP LEARNING</t>
  </si>
  <si>
    <t>Tổng nhiệm vụ</t>
  </si>
  <si>
    <t>Đã hoàn thành</t>
  </si>
  <si>
    <t>Tiến độ trung bình</t>
  </si>
  <si>
    <t>KPI đã tick</t>
  </si>
  <si>
    <t>Phân công trách nhiệm chính</t>
  </si>
  <si>
    <t>Thành viên</t>
  </si>
  <si>
    <t>Vai trò</t>
  </si>
  <si>
    <t>Trách nhiệm kỹ thuật</t>
  </si>
  <si>
    <t>Nội dung báo cáo và bàn giao</t>
  </si>
  <si>
    <t>Hạng mục</t>
  </si>
  <si>
    <t>Deliverable</t>
  </si>
  <si>
    <t>Owner</t>
  </si>
  <si>
    <t>Trình</t>
  </si>
  <si>
    <t>Trưởng nhóm và tích hợp</t>
  </si>
  <si>
    <t>Báo cáo</t>
  </si>
  <si>
    <t>Slide</t>
  </si>
  <si>
    <t>Hiếu</t>
  </si>
  <si>
    <t>Tùng</t>
  </si>
  <si>
    <t>Data và Model 1</t>
  </si>
  <si>
    <t>Source code</t>
  </si>
  <si>
    <t>Cả nhóm</t>
  </si>
  <si>
    <t>Notebook demo</t>
  </si>
  <si>
    <t>Quân</t>
  </si>
  <si>
    <t>Model 2</t>
  </si>
  <si>
    <t>Model 1</t>
  </si>
  <si>
    <t>Model 3 và trực quan</t>
  </si>
  <si>
    <t>Model 3</t>
  </si>
  <si>
    <t>Metrics</t>
  </si>
  <si>
    <t>Hình kết quả</t>
  </si>
  <si>
    <t>figures/</t>
  </si>
  <si>
    <t>README</t>
  </si>
  <si>
    <t>README.md</t>
  </si>
  <si>
    <t>Mốc tiến độ theo ngày</t>
  </si>
  <si>
    <t>Demo</t>
  </si>
  <si>
    <t>demo/demo_images/</t>
  </si>
  <si>
    <t>Script</t>
  </si>
  <si>
    <t>Ngày</t>
  </si>
  <si>
    <t>Trọng tâm</t>
  </si>
  <si>
    <t>Lead</t>
  </si>
  <si>
    <t>Milestone và deliverable chính</t>
  </si>
  <si>
    <t>Tiến độ</t>
  </si>
  <si>
    <t>KPI đạt</t>
  </si>
  <si>
    <t>Trạng thái</t>
  </si>
  <si>
    <t>Q&amp;A</t>
  </si>
  <si>
    <t>Bài nộp</t>
  </si>
  <si>
    <t>Khởi động</t>
  </si>
  <si>
    <t>Dữ liệu</t>
  </si>
  <si>
    <t>Log</t>
  </si>
  <si>
    <t>Kiến trúc</t>
  </si>
  <si>
    <t>So sánh</t>
  </si>
  <si>
    <t>Tiền xử lý</t>
  </si>
  <si>
    <t>Nguồn dataset</t>
  </si>
  <si>
    <t>Mendeley Data</t>
  </si>
  <si>
    <t>Ngày thuyết trình</t>
  </si>
  <si>
    <t>Xây dựng model</t>
  </si>
  <si>
    <t>Tùng; Quân; Hiếu</t>
  </si>
  <si>
    <t>Ba model compile và smoke test thành công</t>
  </si>
  <si>
    <t>Baseline</t>
  </si>
  <si>
    <t>Cách sử dụng tracker</t>
  </si>
  <si>
    <t>Huấn luyện</t>
  </si>
  <si>
    <t>1. Chọn trạng thái trong dropdown ở cột K. Tiến độ cột M sẽ tự cập nhật.</t>
  </si>
  <si>
    <t>Phân tích lỗi</t>
  </si>
  <si>
    <t>2. Khi KPI của nhiệm vụ đã đạt, đổi ô ở cột J từ ☐ thành ☑.</t>
  </si>
  <si>
    <t>Huấn luyện cuối</t>
  </si>
  <si>
    <t>Khóa ba final checkpoints</t>
  </si>
  <si>
    <t>3. Chỉ đánh dấu Hoàn thành khi deliverable tồn tại và KPI đã được kiểm tra.</t>
  </si>
  <si>
    <t>Đánh giá</t>
  </si>
  <si>
    <t>Khóa metrics, bảng so sánh và nội dung kết quả</t>
  </si>
  <si>
    <t>4. Trạng thái Bị vướng cần ghi nguyên nhân và hành động tiếp theo ở cột N.</t>
  </si>
  <si>
    <t>Hoàn thiện</t>
  </si>
  <si>
    <t>Khóa báo cáo, slide, demo và submission.zip</t>
  </si>
  <si>
    <t>5. Ngày 08/10 khóa model, ngày 09/10 khóa kết quả, ngày 10/10 khóa bài nộp.</t>
  </si>
  <si>
    <t>Nguồn dataset: https://data.mendeley.com/datasets/6ps7gtp2wg/1 | DOI: 10.17632/6ps7gtp2wg.1</t>
  </si>
  <si>
    <t>BẢNG PHÂN CHIA CÔNG VIỆC 01/10-10/10/2026</t>
  </si>
  <si>
    <t>Cập nhật trạng thái bằng dropdown, tick KPI khi điều kiện hoàn thành đã được kiểm tra. Tiến độ được tính tự động từ trạng thái.</t>
  </si>
  <si>
    <t>STT</t>
  </si>
  <si>
    <t>Giai đoạn</t>
  </si>
  <si>
    <t>Công việc</t>
  </si>
  <si>
    <t>Phụ trách</t>
  </si>
  <si>
    <t>Phối hợp</t>
  </si>
  <si>
    <t>Output</t>
  </si>
  <si>
    <t>KPI / Điều kiện hoàn thành</t>
  </si>
  <si>
    <t>Check KPI</t>
  </si>
  <si>
    <t>Ưu tiên</t>
  </si>
  <si>
    <t>Ghi chú / Vướng mắc</t>
  </si>
  <si>
    <t>Chốt bài toán nhận diện loại trái cây và tình trạng fresh/spoiled</t>
  </si>
  <si>
    <t>docs/problem_definition.md</t>
  </si>
  <si>
    <t>Có đủ input, output, 8 loại quả và 2 trạng thái</t>
  </si>
  <si>
    <t>☐</t>
  </si>
  <si>
    <t>Chưa bắt đầu</t>
  </si>
  <si>
    <t>Cao</t>
  </si>
  <si>
    <t>Chốt thiết kế Model 1: Simple Sequential CNN dự đoán 16 lớp</t>
  </si>
  <si>
    <t>docs/model_plan.md</t>
  </si>
  <si>
    <t>Có block CNN, classifier và output 16 lớp</t>
  </si>
  <si>
    <t>Kiến trúc multi-task được mô tả</t>
  </si>
  <si>
    <t>Fruit head 8 lớp và freshness head nhị phân</t>
  </si>
  <si>
    <t>Backbone và phạm vi fine-tuning được chọn</t>
  </si>
  <si>
    <t>Nêu rõ frozen stage và fine-tuning stage</t>
  </si>
  <si>
    <t>Tạo cấu trúc repository và quy ước đặt tên file</t>
  </si>
  <si>
    <t>Tạo môi trường TensorFlow/Keras dùng chung</t>
  </si>
  <si>
    <t>requirements.txt</t>
  </si>
  <si>
    <t>Cài đặt sạch và import không lỗi</t>
  </si>
  <si>
    <t>Trung bình</t>
  </si>
  <si>
    <t>Tải và giải nén dataset từ Mendeley</t>
  </si>
  <si>
    <t>reports/data_structure.txt</t>
  </si>
  <si>
    <t>Mọi thư mục được ánh xạ đúng nhãn</t>
  </si>
  <si>
    <t>Thống kê số ảnh theo loại quả, trạng thái và lớp kết hợp</t>
  </si>
  <si>
    <t>Bảng phân bố lớp thực tế</t>
  </si>
  <si>
    <t>reports/class_distribution.csv</t>
  </si>
  <si>
    <t>Tổng ảnh khớp số ảnh đọc được</t>
  </si>
  <si>
    <t>Kiểm tra ảnh lỗi, ảnh không đọc được và sai định dạng</t>
  </si>
  <si>
    <t>Danh sách tệp có vấn đề</t>
  </si>
  <si>
    <t>reports/data_quality_report.csv</t>
  </si>
  <si>
    <t>100% ảnh được thử đọc</t>
  </si>
  <si>
    <t>Thống kê kỹ thuật của ảnh</t>
  </si>
  <si>
    <t>reports/image_statistics.csv</t>
  </si>
  <si>
    <t>Có min, max và kích thước phổ biến</t>
  </si>
  <si>
    <t>Mỗi lớp có ít nhất một ảnh đại diện</t>
  </si>
  <si>
    <t>Viết Dataset Description cho báo cáo</t>
  </si>
  <si>
    <t>Có link, số ảnh, lớp, kích thước và giấy phép</t>
  </si>
  <si>
    <t>Tạo metadata cho từng ảnh</t>
  </si>
  <si>
    <t>data/metadata.csv</t>
  </si>
  <si>
    <t>Không thiếu path hoặc nhãn</t>
  </si>
  <si>
    <t>data/splits/train.csv; val.csv; test.csv</t>
  </si>
  <si>
    <t>Audit data leakage và ảnh trùng giữa các tập</t>
  </si>
  <si>
    <t>src/data_pipeline.py</t>
  </si>
  <si>
    <t>Batch có shape và miền giá trị đúng</t>
  </si>
  <si>
    <t>Cài đặt data augmentation chỉ cho training set</t>
  </si>
  <si>
    <t>Validation và test không bị augmentation</t>
  </si>
  <si>
    <t>Tạo tf.data pipeline dùng chung cho ba model</t>
  </si>
  <si>
    <t>Ba model nhận cùng split dữ liệu</t>
  </si>
  <si>
    <t>Notebook xác nhận pipeline</t>
  </si>
  <si>
    <t>notebooks/01_data_validation.ipynb</t>
  </si>
  <si>
    <t>Ảnh và ba dạng nhãn khớp nhau</t>
  </si>
  <si>
    <t>Xây dựng Model 1 bằng Keras Sequential API</t>
  </si>
  <si>
    <t>Simple CNN chạy forward pass</t>
  </si>
  <si>
    <t>src/models/simple_cnn.py</t>
  </si>
  <si>
    <t>Output shape bằng 16</t>
  </si>
  <si>
    <t>Feature extractor CNN dùng chung</t>
  </si>
  <si>
    <t>src/models/multitask_cnn.py</t>
  </si>
  <si>
    <t>Fruit softmax và freshness sigmoid</t>
  </si>
  <si>
    <t>Hai output có shape 8 và 1</t>
  </si>
  <si>
    <t>Transfer model chạy forward pass</t>
  </si>
  <si>
    <t>src/models/transfer_model.py</t>
  </si>
  <si>
    <t>Backbone tải đúng ImageNet weights</t>
  </si>
  <si>
    <t>Quân; Hiếu</t>
  </si>
  <si>
    <t>configs/training_config.json</t>
  </si>
  <si>
    <t>Loss khớp từng loại output</t>
  </si>
  <si>
    <t>Cài đặt metrics chung để so sánh công bằng</t>
  </si>
  <si>
    <t>Fruit, freshness và joint metrics</t>
  </si>
  <si>
    <t>src/evaluation/metrics.py</t>
  </si>
  <si>
    <t>Model 1 được giải mã từ 16 lớp về hai nhãn</t>
  </si>
  <si>
    <t>Ba model train một batch không lỗi</t>
  </si>
  <si>
    <t>Không lỗi shape, dtype hoặc loss</t>
  </si>
  <si>
    <t>Xuất model summary và số lượng tham số</t>
  </si>
  <si>
    <t>Có trainable và non-trainable parameters</t>
  </si>
  <si>
    <t>Vẽ kiến trúc Model 1</t>
  </si>
  <si>
    <t>Sơ đồ CNN tuần tự</t>
  </si>
  <si>
    <t>figures/model_1_architecture.png</t>
  </si>
  <si>
    <t>Thể hiện input, blocks và output</t>
  </si>
  <si>
    <t>Vẽ kiến trúc Model 2</t>
  </si>
  <si>
    <t>figures/model_2_architecture.png</t>
  </si>
  <si>
    <t>Hai output head thể hiện rõ</t>
  </si>
  <si>
    <t>Vẽ kiến trúc Model 3</t>
  </si>
  <si>
    <t>Sơ đồ backbone và hai nhánh</t>
  </si>
  <si>
    <t>figures/model_3_architecture.png</t>
  </si>
  <si>
    <t>Phân biệt frozen và trainable layers</t>
  </si>
  <si>
    <t>Đánh giá thời gian mỗi epoch và bộ nhớ</t>
  </si>
  <si>
    <t>Bảng chi phí tính toán sơ bộ</t>
  </si>
  <si>
    <t>reports/resource_report.md</t>
  </si>
  <si>
    <t>Huấn luyện chính thức Model 1</t>
  </si>
  <si>
    <t>History và best checkpoint</t>
  </si>
  <si>
    <t>Checkpoint dựa trên validation loss</t>
  </si>
  <si>
    <t>Huấn luyện chính thức Model 2</t>
  </si>
  <si>
    <t>Total loss và loss từng head</t>
  </si>
  <si>
    <t>Lưu đủ metrics cho hai output</t>
  </si>
  <si>
    <t>Tùng; Quân</t>
  </si>
  <si>
    <t>Biểu đồ đọc được và có legend</t>
  </si>
  <si>
    <t>Ghi experiment log</t>
  </si>
  <si>
    <t>Seed, batch size, optimizer, LR và epoch</t>
  </si>
  <si>
    <t>reports/experiment_log.csv</t>
  </si>
  <si>
    <t>Mỗi run có ID và cấu hình</t>
  </si>
  <si>
    <t>Kiểm tra overfitting của ba model</t>
  </si>
  <si>
    <t>Nhận xét chênh lệch train và validation</t>
  </si>
  <si>
    <t>reports/error_analysis.md</t>
  </si>
  <si>
    <t>Có bằng chứng từ learning curve</t>
  </si>
  <si>
    <t>Các lớp kết hợp dễ nhầm</t>
  </si>
  <si>
    <t>Nêu ít nhất ba nhóm lỗi chính</t>
  </si>
  <si>
    <t>Phân tích fruit head và freshness head của Model 2</t>
  </si>
  <si>
    <t>Hai nhóm lỗi riêng</t>
  </si>
  <si>
    <t>Có metrics và confusion matrix từng head</t>
  </si>
  <si>
    <t>Tổng hợp ảnh dự đoán sai tiêu biểu</t>
  </si>
  <si>
    <t>Lưới ảnh sai kèm nhãn thật và dự đoán</t>
  </si>
  <si>
    <t>figures/misclassified_samples.png</t>
  </si>
  <si>
    <t>Có cả lỗi loại quả và freshness</t>
  </si>
  <si>
    <t>Chốt hyperparameters và khóa kiến trúc</t>
  </si>
  <si>
    <t>Cấu hình huấn luyện cuối</t>
  </si>
  <si>
    <t>Không còn thay đổi kiến trúc lớn</t>
  </si>
  <si>
    <t>Khóa ba checkpoint cuối</t>
  </si>
  <si>
    <t>Thư mục final chỉ chứa model được chọn</t>
  </si>
  <si>
    <t>models/final/manifest.txt</t>
  </si>
  <si>
    <t>Tên file và checksum được ghi lại</t>
  </si>
  <si>
    <t>Tổng hợp chi phí tính toán</t>
  </si>
  <si>
    <t>Thời gian, epoch và parameters</t>
  </si>
  <si>
    <t>Đủ dữ liệu cho bảng so sánh</t>
  </si>
  <si>
    <t>Sinh prediction trên test set cho ba model</t>
  </si>
  <si>
    <t>Prediction theo từng ảnh</t>
  </si>
  <si>
    <t>Tính metrics nhận diện 8 loại trái cây</t>
  </si>
  <si>
    <t>Accuracy, macro Precision, Recall và F1</t>
  </si>
  <si>
    <t>reports/fruit_metrics.csv</t>
  </si>
  <si>
    <t>Cả ba model dùng cùng test set</t>
  </si>
  <si>
    <t>Tính metrics fresh/spoiled</t>
  </si>
  <si>
    <t>reports/freshness_metrics.csv</t>
  </si>
  <si>
    <t>Tính joint accuracy và metrics 16 lớp</t>
  </si>
  <si>
    <t>Kết quả đúng đồng thời hai nhãn</t>
  </si>
  <si>
    <t>reports/final_metrics.csv</t>
  </si>
  <si>
    <t>Cách giải mã Model 1 được kiểm tra</t>
  </si>
  <si>
    <t>Tạo confusion matrix cuối</t>
  </si>
  <si>
    <t>Ma trận nhầm lẫn theo đầu ra</t>
  </si>
  <si>
    <t>figures/confusion_matrices/</t>
  </si>
  <si>
    <t>Nhãn trục đúng và đọc được</t>
  </si>
  <si>
    <t>tables/model_comparison.xlsx</t>
  </si>
  <si>
    <t>Không nhập số liệu ước lượng thủ công</t>
  </si>
  <si>
    <t>Viết Experimental Results và thảo luận</t>
  </si>
  <si>
    <t>Mỗi nhận xét có số liệu hỗ trợ</t>
  </si>
  <si>
    <t>Viết Conclusion và hoàn thiện References</t>
  </si>
  <si>
    <t>Kết luận và danh mục nguồn</t>
  </si>
  <si>
    <t>Có nguồn dataset, CNN, transfer learning và backbone</t>
  </si>
  <si>
    <t>Tích hợp và định dạng báo cáo Word cuối</t>
  </si>
  <si>
    <t>Báo cáo đúng mẫu giảng viên</t>
  </si>
  <si>
    <t>final/Major_Assignment_Report.docx</t>
  </si>
  <si>
    <t>Không thiếu mục, hình hoặc bảng</t>
  </si>
  <si>
    <t>Code có thể chạy lại</t>
  </si>
  <si>
    <t>Hoàn thiện notebook demo dự đoán ảnh mới</t>
  </si>
  <si>
    <t>notebooks/05_demo_prediction.ipynb</t>
  </si>
  <si>
    <t>Chạy được từ đầu đến cuối</t>
  </si>
  <si>
    <t>Hướng dẫn tải data, train, evaluate và demo</t>
  </si>
  <si>
    <t>Người mới có thể chạy theo hướng dẫn</t>
  </si>
  <si>
    <t>Thuyết trình</t>
  </si>
  <si>
    <t>Slide bài toán, dữ liệu, model, kết quả</t>
  </si>
  <si>
    <t>final/Presentation.pptx</t>
  </si>
  <si>
    <t>Số liệu khớp báo cáo</t>
  </si>
  <si>
    <t>Bộ ảnh đúng, sai, fresh và spoiled</t>
  </si>
  <si>
    <t>Demo có phương án dự phòng</t>
  </si>
  <si>
    <t>Chia lời thoại và chuẩn bị câu hỏi phản biện</t>
  </si>
  <si>
    <t>Script và bộ Q&amp;A</t>
  </si>
  <si>
    <t>Mỗi thành viên có phần nói và câu hỏi phụ trách</t>
  </si>
  <si>
    <t>Thuyết trình thử hai vòng và đóng gói bài nộp</t>
  </si>
  <si>
    <t>Bài nói đúng thời lượng và gói nộp cuối</t>
  </si>
  <si>
    <t>final/submission.zip</t>
  </si>
  <si>
    <t>Mở được tất cả file và không thiếu deliverable</t>
  </si>
  <si>
    <t>Phạm vi, input, output, lớp dương tính (spoiled)</t>
  </si>
  <si>
    <t>☑</t>
  </si>
  <si>
    <t>Hoàn thành</t>
  </si>
  <si>
    <t>Kiến trúc 5 khối Conv-ReLU-MaxPool + FC</t>
  </si>
  <si>
    <t>Chốt thiết kế Model 2: shared trunk khối phần dư và hai output head</t>
  </si>
  <si>
    <t>Chốt Model 3: MobileNetV2 (ImageNet) và kế hoạch fine-tuning 2 giai đoạn</t>
  </si>
  <si>
    <t>Cấu trúc src, scripts, configs, data, reports, figures, docs, tests</t>
  </si>
  <si>
    <t>Repository + .gitignore</t>
  </si>
  <si>
    <t>Có cấu trúc thư mục; slides/ không đưa lên Git</t>
  </si>
  <si>
    <t>Python 3.12, TensorFlow 2.21, Keras 3.15</t>
  </si>
  <si>
    <t>Tạo khung báo cáo theo mẫu giảng viên (tiếng Việt)</t>
  </si>
  <si>
    <t>Bìa, mục lục, Phần 1, Phần 2, tài liệu tham khảo</t>
  </si>
  <si>
    <t>report/; report/build_report.py</t>
  </si>
  <si>
    <t>Đủ toàn bộ heading bắt buộc, xuất được Word</t>
  </si>
  <si>
    <t>Dataset FRUIT-16K sẵn sàng để đọc</t>
  </si>
  <si>
    <t>scripts/download_data.py; data/raw/</t>
  </si>
  <si>
    <t>Tải đủ 16 thư mục x 1.000 ảnh, ghi lại nguồn</t>
  </si>
  <si>
    <t>Kiểm tra cấu trúc thư mục và ánh xạ nhãn</t>
  </si>
  <si>
    <t>Bản đồ thư mục -&gt; fruit, freshness, combined label</t>
  </si>
  <si>
    <t>Thống kê kích thước, tỉ lệ khung hình, kênh màu, mean/std</t>
  </si>
  <si>
    <t>Phát hiện ảnh trùng lặp (SHA-256) và ảnh gán nhãn mâu thuẫn (pHash)</t>
  </si>
  <si>
    <t>Danh sách ảnh trùng và ảnh sai nhãn</t>
  </si>
  <si>
    <t>reports/duplicate_groups.csv; reports/label_conflicts.csv</t>
  </si>
  <si>
    <t>Mọi ảnh được băm và so khớp</t>
  </si>
  <si>
    <t>Tạo lưới ảnh mẫu 16 lớp và hình minh hoạ ảnh trùng</t>
  </si>
  <si>
    <t>Hình minh hoạ dataset</t>
  </si>
  <si>
    <t>figures/dataset_samples.png; figures/duplicate_examples.png</t>
  </si>
  <si>
    <t>Mục II của báo cáo</t>
  </si>
  <si>
    <t>report/part2_bai_toan_du_lieu_mo_hinh.md</t>
  </si>
  <si>
    <t>Path, nhãn, hash, quyết định làm sạch, nhóm, tập</t>
  </si>
  <si>
    <t>Chia train/val/test phân tầng, chống rò rỉ dữ liệu theo nhóm ảnh</t>
  </si>
  <si>
    <t>Ba tập dữ liệu cố định 70/15/15</t>
  </si>
  <si>
    <t>Phân bố 16 lớp lệch không quá 1,3 điểm %</t>
  </si>
  <si>
    <t>Báo cáo split sạch, so sánh với chia ngẫu nhiên</t>
  </si>
  <si>
    <t>reports/split_audit.txt; reports/leakage_comparison.csv</t>
  </si>
  <si>
    <t>Không có path, hash hoặc nhóm trùng giữa các tập</t>
  </si>
  <si>
    <t>Cài đặt resize và normalization (chuẩn hoá trong model)</t>
  </si>
  <si>
    <t>Input 224x224x3; [0,1] hoặc [-1,1] cho MobileNetV2</t>
  </si>
  <si>
    <t>Flip, rotation, zoom, brightness, contrast</t>
  </si>
  <si>
    <t>Data loader có cache, shuffle, batch, prefetch</t>
  </si>
  <si>
    <t>Kiểm thử batch ảnh, nhãn và trực quan hoá augmentation</t>
  </si>
  <si>
    <t>Vẽ hình phân bố lớp, so sánh rò rỉ và augmentation</t>
  </si>
  <si>
    <t>Hình cho báo cáo và slide</t>
  </si>
  <si>
    <t>figures/class_distribution.png; split_leakage.png; augmentation_examples.png</t>
  </si>
  <si>
    <t>Hình đọc được, có chú thích</t>
  </si>
  <si>
    <t>Viết mục Tiền xử lý dữ liệu cho báo cáo</t>
  </si>
  <si>
    <t>Mục III.1 của báo cáo</t>
  </si>
  <si>
    <t>Có số mẫu của từng tập</t>
  </si>
  <si>
    <t>Xây dựng shared trunk khối phần dư cho Model 2</t>
  </si>
  <si>
    <t>Trunk trả về feature map hợp lệ</t>
  </si>
  <si>
    <t>Xây dựng hai output head (dùng chung cho Model 2 và 3)</t>
  </si>
  <si>
    <t>src/models/heads.py</t>
  </si>
  <si>
    <t>Xây dựng Model 3 với MobileNetV2 pretrained</t>
  </si>
  <si>
    <t>Cấu hình loss, optimizer, loss weights và callbacks</t>
  </si>
  <si>
    <t>Cấu hình compile và huấn luyện cho ba model</t>
  </si>
  <si>
    <t>configs/training_config.json; src/training/callbacks.py</t>
  </si>
  <si>
    <t>Smoke test ba model và pipeline</t>
  </si>
  <si>
    <t>tests/test_models.py; tests/test_data_pipeline.py</t>
  </si>
  <si>
    <t>Bảng layer và parameters</t>
  </si>
  <si>
    <t>reports/model_summaries/; reports/model_parameters.csv</t>
  </si>
  <si>
    <t>Sơ đồ shared trunk, khối phần dư và hai nhánh</t>
  </si>
  <si>
    <t>Viết script huấn luyện và chạy toàn bộ thí nghiệm</t>
  </si>
  <si>
    <t>train.py cho 3 model, run_experiments.py cho mọi run</t>
  </si>
  <si>
    <t>scripts/train.py; scripts/run_experiments.py</t>
  </si>
  <si>
    <t>Chạy lại toàn bộ bằng một lệnh</t>
  </si>
  <si>
    <t>Có thời gian, CPU và batch size</t>
  </si>
  <si>
    <t>Đang thực hiện</t>
  </si>
  <si>
    <t>models/model1_simple_cnn.keras</t>
  </si>
  <si>
    <t>models/model2_multitask_cnn.keras</t>
  </si>
  <si>
    <t>Huấn luyện Model 3: frozen backbone + fine-tuning</t>
  </si>
  <si>
    <t>Checkpoint giai đoạn 1 và giai đoạn 2</t>
  </si>
  <si>
    <t>models/model3_mobilenet_v2.keras</t>
  </si>
  <si>
    <t>Chỉ head học ở giai đoạn 1; LR thấp ở giai đoạn 2</t>
  </si>
  <si>
    <t>Vẽ learning curve train/validation</t>
  </si>
  <si>
    <t>Loss và accuracy theo epoch</t>
  </si>
  <si>
    <t>figures/learning_curves/</t>
  </si>
  <si>
    <t>Ablation augmentation: Model 1 không tăng cường dữ liệu</t>
  </si>
  <si>
    <t>Run model1_simple_cnn_noaug</t>
  </si>
  <si>
    <t>logs/model1_simple_cnn_noaug/</t>
  </si>
  <si>
    <t>So sánh F1 có / không augmentation</t>
  </si>
  <si>
    <t>Ablation augmentation: Model 2 không tăng cường dữ liệu</t>
  </si>
  <si>
    <t>Run model2_multitask_cnn_noaug</t>
  </si>
  <si>
    <t>logs/model2_multitask_cnn_noaug/</t>
  </si>
  <si>
    <t>Ablation augmentation: Model 3 không tăng cường dữ liệu</t>
  </si>
  <si>
    <t>Run model3_mobilenet_v2_noaug</t>
  </si>
  <si>
    <t>logs/model3_mobilenet_v2_noaug/</t>
  </si>
  <si>
    <t>Ablation số lớp fine-tune MobileNetV2 (none, 16, 13, 10, 6, all)</t>
  </si>
  <si>
    <t>5 run từ cùng checkpoint giai đoạn 1</t>
  </si>
  <si>
    <t>figures/ablation_finetuning.png</t>
  </si>
  <si>
    <t>Giải thích được số lớp nên mở băng</t>
  </si>
  <si>
    <t>Phân tích confusion matrix của Model 1</t>
  </si>
  <si>
    <t>figures/confusion_matrices/model1_simple_cnn_*.png</t>
  </si>
  <si>
    <t>figures/confusion_matrices/model2_multitask_cnn_*.png</t>
  </si>
  <si>
    <t>Grad-CAM: vùng ảnh quyết định tươi / hỏng</t>
  </si>
  <si>
    <t>Heatmap cho 3 model, ảnh đúng và ảnh sai</t>
  </si>
  <si>
    <t>figures/gradcam/; scripts/gradcam.py</t>
  </si>
  <si>
    <t>Mỗi model có heatmap cho ảnh đúng và sai</t>
  </si>
  <si>
    <t>Đo thời gian suy luận trên CPU</t>
  </si>
  <si>
    <t>ms/ảnh với batch 1 và batch 32</t>
  </si>
  <si>
    <t>Ba model đo cùng điều kiện</t>
  </si>
  <si>
    <t>predictions/</t>
  </si>
  <si>
    <t>Đủ 100% test samples, đúng thứ tự</t>
  </si>
  <si>
    <t>Accuracy, Precision, Recall, F1 và AUC</t>
  </si>
  <si>
    <t>Positive class là spoiled</t>
  </si>
  <si>
    <t>Tạo bảng so sánh ba model và bảng ablation</t>
  </si>
  <si>
    <t>Bảng performance, ablation và computational cost</t>
  </si>
  <si>
    <t>tables/model_comparison.xlsx; reports/results_summary.md</t>
  </si>
  <si>
    <t>Viết Phần 1: Cơ sở lý thuyết CNN</t>
  </si>
  <si>
    <t>11 mục lý thuyết theo bài giảng</t>
  </si>
  <si>
    <t>report/part1_ly_thuyet.md</t>
  </si>
  <si>
    <t>Đủ nội dung chương 4-5 của môn học</t>
  </si>
  <si>
    <t>Chờ kiểm tra</t>
  </si>
  <si>
    <t>Mục IV gắn với bảng và hình</t>
  </si>
  <si>
    <t>report/part2_ket_qua.md</t>
  </si>
  <si>
    <t>report/part2_ket_luan.md; report/tai_lieu_tham_khao.md</t>
  </si>
  <si>
    <t>Demo trả về fruit, freshness và Grad-CAM</t>
  </si>
  <si>
    <t>notebooks/05_demo_prediction.ipynb; scripts/predict.py</t>
  </si>
  <si>
    <t>Chuẩn bị bộ ảnh demo</t>
  </si>
  <si>
    <t>Hoàn thiện slide thuyết trình (tiếng Việt)</t>
  </si>
  <si>
    <t>docs/qa_preparation.md; docs/presentation_script.md</t>
  </si>
  <si>
    <t>Viết README và hướng dẫn chạy lại</t>
  </si>
  <si>
    <t>Dọn source code và chạy lại từ môi trường sạch</t>
  </si>
  <si>
    <t>Toàn bộ repository</t>
  </si>
  <si>
    <t>Không có đường dẫn máy cá nhân</t>
  </si>
  <si>
    <t>Đưa code lên GitHub sau khi nhóm duyệt</t>
  </si>
  <si>
    <t>Repository chung của nhóm</t>
  </si>
  <si>
    <t>github.com/dhieu0901/Fresh-and-Rotten-Fruit-Classification</t>
  </si>
  <si>
    <t>Không đẩy slides/, ảnh gốc và model</t>
  </si>
  <si>
    <t>3,75 triệu tham số</t>
  </si>
  <si>
    <t>Thân kiểu ResNet-10, 4,99 triệu tham số</t>
  </si>
  <si>
    <t>Mở băng từ block_13_expand</t>
  </si>
  <si>
    <t>Push GitHub sau khi nhóm duyệt (việc 72)</t>
  </si>
  <si>
    <t>TensorFlow trên Windows chạy CPU</t>
  </si>
  <si>
    <t>Build tự động Markdown -&gt; Word/PDF</t>
  </si>
  <si>
    <t>16.000 ảnh, CC BY 4.0, ~100 MB</t>
  </si>
  <si>
    <t>0 ảnh lỗi; tất cả 224x224 RGB</t>
  </si>
  <si>
    <t>1.273 ảnh trùng + 1 ảnh sai nhãn -&gt; loại bỏ</t>
  </si>
  <si>
    <t>10.320 / 2.203 / 2.203 ảnh</t>
  </si>
  <si>
    <t>Ảnh test có bản sao gần giống: 9,7% -&gt; 1,2%</t>
  </si>
  <si>
    <t>Notebook chạy không lỗi</t>
  </si>
  <si>
    <t>12/12 test pass</t>
  </si>
  <si>
    <t>Đo lại khi CPU rảnh (sau khi train xong)</t>
  </si>
  <si>
    <t>Epoch 18: val acc 92,7% (tốt nhất 94,5%)</t>
  </si>
  <si>
    <t>Đang xếp hàng, tự chạy sau Model 1</t>
  </si>
  <si>
    <t>Val 99,91%; test 99,73% (đúng cả hai nhãn)</t>
  </si>
  <si>
    <t>Tự ghi sau mỗi run</t>
  </si>
  <si>
    <t>Đã có của Model 3</t>
  </si>
  <si>
    <t>Đang xếp hàng</t>
  </si>
  <si>
    <t>Script đã sẵn sàng</t>
  </si>
  <si>
    <t>Dùng cho mọi run</t>
  </si>
  <si>
    <t>Bản nháp xong, chờ nhóm đọc lại</t>
  </si>
  <si>
    <t>Đã có 23 tài liệu tham khảo</t>
  </si>
  <si>
    <t>Bản nháp 27 trang; còn mục IV-V</t>
  </si>
  <si>
    <t>scripts/predict.py đã xong</t>
  </si>
  <si>
    <t>Đã có 41 câu hỏi vấn đáp</t>
  </si>
  <si>
    <t>README tạm 1 dòng</t>
  </si>
  <si>
    <t>Chờ duyệt nội dung commit</t>
  </si>
  <si>
    <t>Phân loại 8 loại trái cây và trạng thái fresh/spoiled | Thực hiện 01/10-10/10/2026 | Thuyết trình 11/10/2026 | Cập nhật 03/10/2026</t>
  </si>
  <si>
    <t>Quản lý tiến độ, repository, môi trường, kiểm định rò rỉ dữ liệu, metrics, đánh giá, tích hợp</t>
  </si>
  <si>
    <t>Lý thuyết CNN (Phần 1), mô tả bài toán, kết quả thực nghiệm, tổng hợp báo cáo, Q&amp;A</t>
  </si>
  <si>
    <t>Tải và kiểm định dataset, làm sạch, chia tập chống rò rỉ, pipeline, augmentation, Simple CNN, demo</t>
  </si>
  <si>
    <t>Mô tả dataset, tiền xử lý dữ liệu, Model 1 và demo</t>
  </si>
  <si>
    <t>Multi-task CNN: shared trunk khối phần dư, fruit head, freshness head, loss weights, ablation Model 2</t>
  </si>
  <si>
    <t>Học đa nhiệm và kết quả Model 2</t>
  </si>
  <si>
    <t>MobileNetV2 transfer learning, fine-tuning, ablation số lớp, Grad-CAM, hình, sơ đồ kiến trúc, slide</t>
  </si>
  <si>
    <t>Transfer learning, kết quả Model 3, Grad-CAM và slide</t>
  </si>
  <si>
    <t>src/ + scripts/ (repository)</t>
  </si>
  <si>
    <t>docs/presentation_script.md</t>
  </si>
  <si>
    <t>docs/qa_preparation.md</t>
  </si>
  <si>
    <t>data/metadata.csv; data/splits/</t>
  </si>
  <si>
    <t>figures/model_*_architecture.png</t>
  </si>
  <si>
    <t>Khóa phạm vi, repository, môi trường và khung báo cáo</t>
  </si>
  <si>
    <t>Data audit: 1.273 ảnh trùng + 1 ảnh sai nhãn; Dataset Description</t>
  </si>
  <si>
    <t>Khóa split chống rò rỉ (70/15/15) và pipeline dữ liệu chung</t>
  </si>
  <si>
    <t>Model summary, sơ đồ kiến trúc và script huấn luyện</t>
  </si>
  <si>
    <t>Checkpoint và history của ba model</t>
  </si>
  <si>
    <t>Ablation, phân tích lỗi, Grad-CAM; khóa hyperparameters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</si>
</sst>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rgb="FF000000"/>
      <name val="Carlito"/>
      <scheme val="minor"/>
    </font>
    <font>
      <sz val="10"/>
      <color rgb="FF263238"/>
      <name val="Arial"/>
    </font>
    <font>
      <b/>
      <sz val="16"/>
      <color rgb="FF17324D"/>
      <name val="Arial"/>
    </font>
    <font>
      <i/>
      <sz val="10"/>
      <color rgb="FF5B6570"/>
      <name val="Arial"/>
    </font>
    <font>
      <b/>
      <sz val="10"/>
      <color rgb="FF17324D"/>
      <name val="Arial"/>
    </font>
    <font>
      <sz val="11"/>
      <name val="Carlito"/>
    </font>
    <font>
      <b/>
      <sz val="11"/>
      <color rgb="FFFFFFFF"/>
      <name val="Arial"/>
    </font>
    <font>
      <b/>
      <sz val="10"/>
      <color rgb="FFFFFFFF"/>
      <name val="Arial"/>
    </font>
    <font>
      <i/>
      <sz val="9"/>
      <color rgb="FF5B6570"/>
      <name val="Arial"/>
    </font>
    <font>
      <b/>
      <sz val="13"/>
      <color rgb="FF263238"/>
      <name val="Arial"/>
    </font>
  </fonts>
  <fills count="9">
    <fill>
      <patternFill patternType="none"/>
    </fill>
    <fill>
      <patternFill patternType="gray125"/>
    </fill>
    <fill>
      <patternFill patternType="solid">
        <fgColor rgb="FFEEF5FA"/>
        <bgColor rgb="FFEEF5FA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CE8C3"/>
        <bgColor rgb="FFFCE8C3"/>
      </patternFill>
    </fill>
    <fill>
      <patternFill patternType="solid">
        <fgColor rgb="FF17324D"/>
        <bgColor rgb="FF17324D"/>
      </patternFill>
    </fill>
    <fill>
      <patternFill patternType="solid">
        <fgColor rgb="FF2A9D8F"/>
        <bgColor rgb="FF2A9D8F"/>
      </patternFill>
    </fill>
    <fill>
      <patternFill patternType="solid">
        <fgColor rgb="FFF5F7F9"/>
        <bgColor rgb="FFF5F7F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2A9D8F"/>
      </bottom>
      <diagonal/>
    </border>
    <border>
      <left style="thin">
        <color rgb="FFD9E1E8"/>
      </left>
      <right/>
      <top style="thin">
        <color rgb="FFD9E1E8"/>
      </top>
      <bottom/>
      <diagonal/>
    </border>
    <border>
      <left/>
      <right/>
      <top style="thin">
        <color rgb="FFD9E1E8"/>
      </top>
      <bottom/>
      <diagonal/>
    </border>
    <border>
      <left/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/>
      <bottom/>
      <diagonal/>
    </border>
    <border>
      <left/>
      <right style="thin">
        <color rgb="FFD9E1E8"/>
      </right>
      <top/>
      <bottom/>
      <diagonal/>
    </border>
    <border>
      <left style="thin">
        <color rgb="FFD9E1E8"/>
      </left>
      <right/>
      <top/>
      <bottom style="thin">
        <color rgb="FFD9E1E8"/>
      </bottom>
      <diagonal/>
    </border>
    <border>
      <left/>
      <right/>
      <top/>
      <bottom style="thin">
        <color rgb="FFD9E1E8"/>
      </bottom>
      <diagonal/>
    </border>
    <border>
      <left/>
      <right style="thin">
        <color rgb="FFD9E1E8"/>
      </right>
      <top/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6" fillId="6" borderId="0" xfId="0" applyFont="1" applyFill="1" applyAlignment="1">
      <alignment vertical="center"/>
    </xf>
    <xf numFmtId="0" fontId="7" fillId="7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14" fontId="1" fillId="0" borderId="10" xfId="0" applyNumberFormat="1" applyFont="1" applyBorder="1" applyAlignment="1">
      <alignment vertical="center"/>
    </xf>
    <xf numFmtId="0" fontId="1" fillId="0" borderId="0" xfId="0" applyFont="1"/>
    <xf numFmtId="0" fontId="1" fillId="0" borderId="1" xfId="0" applyFont="1" applyBorder="1"/>
    <xf numFmtId="0" fontId="7" fillId="6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9" fontId="0" fillId="0" borderId="10" xfId="0" applyNumberFormat="1" applyBorder="1" applyAlignment="1">
      <alignment vertical="center"/>
    </xf>
    <xf numFmtId="0" fontId="1" fillId="8" borderId="7" xfId="0" applyFont="1" applyFill="1" applyBorder="1" applyAlignment="1">
      <alignment vertical="center" wrapText="1"/>
    </xf>
    <xf numFmtId="0" fontId="5" fillId="0" borderId="8" xfId="0" applyFont="1" applyBorder="1"/>
    <xf numFmtId="0" fontId="5" fillId="0" borderId="9" xfId="0" applyFont="1" applyBorder="1"/>
    <xf numFmtId="0" fontId="8" fillId="0" borderId="0" xfId="0" applyFont="1" applyAlignment="1">
      <alignment vertical="center"/>
    </xf>
    <xf numFmtId="0" fontId="0" fillId="0" borderId="0" xfId="0"/>
    <xf numFmtId="9" fontId="0" fillId="5" borderId="5" xfId="0" applyNumberFormat="1" applyFill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6" fillId="6" borderId="0" xfId="0" applyFont="1" applyFill="1" applyAlignment="1">
      <alignment vertical="center"/>
    </xf>
    <xf numFmtId="0" fontId="1" fillId="8" borderId="2" xfId="0" applyFont="1" applyFill="1" applyBorder="1" applyAlignment="1">
      <alignment vertical="center" wrapText="1"/>
    </xf>
    <xf numFmtId="0" fontId="5" fillId="0" borderId="3" xfId="0" applyFont="1" applyBorder="1"/>
    <xf numFmtId="0" fontId="5" fillId="0" borderId="4" xfId="0" applyFont="1" applyBorder="1"/>
    <xf numFmtId="0" fontId="1" fillId="8" borderId="5" xfId="0" applyFont="1" applyFill="1" applyBorder="1" applyAlignment="1">
      <alignment vertical="center" wrapText="1"/>
    </xf>
    <xf numFmtId="1" fontId="0" fillId="3" borderId="5" xfId="0" applyNumberFormat="1" applyFill="1" applyBorder="1" applyAlignment="1">
      <alignment horizontal="center" vertical="center"/>
    </xf>
    <xf numFmtId="9" fontId="0" fillId="4" borderId="5" xfId="0" applyNumberForma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18">
    <dxf>
      <font>
        <color rgb="FF9A5B00"/>
      </font>
      <fill>
        <patternFill patternType="solid">
          <fgColor rgb="FFFCE8C3"/>
          <bgColor rgb="FFFCE8C3"/>
        </patternFill>
      </fill>
    </dxf>
    <dxf>
      <font>
        <b/>
        <color rgb="FFA61C00"/>
      </font>
      <fill>
        <patternFill patternType="solid">
          <fgColor rgb="FFF4CCCC"/>
          <bgColor rgb="FFF4CCCC"/>
        </patternFill>
      </fill>
    </dxf>
    <dxf>
      <font>
        <color rgb="FF5B6570"/>
      </font>
      <fill>
        <patternFill patternType="solid">
          <fgColor rgb="FFE7EAED"/>
          <bgColor rgb="FFE7EAED"/>
        </patternFill>
      </fill>
    </dxf>
    <dxf>
      <font>
        <b/>
        <color rgb="FFA61C00"/>
      </font>
      <fill>
        <patternFill patternType="solid">
          <fgColor rgb="FFF4CCCC"/>
          <bgColor rgb="FFF4CCCC"/>
        </patternFill>
      </fill>
    </dxf>
    <dxf>
      <font>
        <b/>
        <color rgb="FF9A5B00"/>
      </font>
      <fill>
        <patternFill patternType="solid">
          <fgColor rgb="FFFCE8C3"/>
          <bgColor rgb="FFFCE8C3"/>
        </patternFill>
      </fill>
    </dxf>
    <dxf>
      <font>
        <b/>
        <color rgb="FF17324D"/>
      </font>
      <fill>
        <patternFill patternType="solid">
          <fgColor rgb="FFDDEBF7"/>
          <bgColor rgb="FFDDEBF7"/>
        </patternFill>
      </fill>
    </dxf>
    <dxf>
      <font>
        <b/>
        <color rgb="FF2E6B3F"/>
      </font>
      <fill>
        <patternFill patternType="solid">
          <fgColor rgb="FFD9EAD3"/>
          <bgColor rgb="FFD9EAD3"/>
        </patternFill>
      </fill>
    </dxf>
    <dxf>
      <font>
        <color rgb="FF68737D"/>
      </font>
      <fill>
        <patternFill patternType="solid">
          <fgColor rgb="FFE7EAED"/>
          <bgColor rgb="FFE7EAED"/>
        </patternFill>
      </fill>
    </dxf>
    <dxf>
      <font>
        <b/>
        <color rgb="FF2E6B3F"/>
      </font>
      <fill>
        <patternFill patternType="solid">
          <fgColor rgb="FFD9EAD3"/>
          <bgColor rgb="FFD9EAD3"/>
        </patternFill>
      </fill>
    </dxf>
    <dxf>
      <font>
        <color rgb="FFA61C00"/>
      </font>
      <fill>
        <patternFill patternType="solid">
          <fgColor rgb="FFFCE8E6"/>
          <bgColor rgb="FFFCE8E6"/>
        </patternFill>
      </fill>
    </dxf>
    <dxf>
      <font>
        <color rgb="FF9A5B00"/>
      </font>
      <fill>
        <patternFill patternType="solid">
          <fgColor rgb="FFFFF2CC"/>
          <bgColor rgb="FFFFF2CC"/>
        </patternFill>
      </fill>
    </dxf>
    <dxf>
      <font>
        <color rgb="FF5B6570"/>
      </font>
      <fill>
        <patternFill patternType="solid">
          <fgColor rgb="FFE7EAED"/>
          <bgColor rgb="FFE7EAED"/>
        </patternFill>
      </fill>
    </dxf>
    <dxf>
      <font>
        <b/>
        <color rgb="FF17324D"/>
      </font>
      <fill>
        <patternFill patternType="solid">
          <fgColor rgb="FFDDEBF7"/>
          <bgColor rgb="FFDDEBF7"/>
        </patternFill>
      </fill>
    </dxf>
    <dxf>
      <font>
        <b/>
        <color rgb="FF2E6B3F"/>
      </font>
      <fill>
        <patternFill patternType="solid">
          <fgColor rgb="FFD9EAD3"/>
          <bgColor rgb="FFD9EAD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Kế hoạch 10 ngày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asks" displayName="ProjectTasks" ref="A5:N78">
  <tableColumns count="14">
    <tableColumn id="1" xr3:uid="{00000000-0010-0000-0000-000001000000}" name="STT"/>
    <tableColumn id="2" xr3:uid="{00000000-0010-0000-0000-000002000000}" name="Ngày"/>
    <tableColumn id="3" xr3:uid="{00000000-0010-0000-0000-000003000000}" name="Giai đoạn"/>
    <tableColumn id="4" xr3:uid="{00000000-0010-0000-0000-000004000000}" name="Công việc"/>
    <tableColumn id="5" xr3:uid="{00000000-0010-0000-0000-000005000000}" name="Phụ trách"/>
    <tableColumn id="6" xr3:uid="{00000000-0010-0000-0000-000006000000}" name="Phối hợp"/>
    <tableColumn id="7" xr3:uid="{00000000-0010-0000-0000-000007000000}" name="Output"/>
    <tableColumn id="8" xr3:uid="{00000000-0010-0000-0000-000008000000}" name="Deliverable"/>
    <tableColumn id="9" xr3:uid="{00000000-0010-0000-0000-000009000000}" name="KPI / Điều kiện hoàn thành"/>
    <tableColumn id="10" xr3:uid="{00000000-0010-0000-0000-00000A000000}" name="Check KPI"/>
    <tableColumn id="11" xr3:uid="{00000000-0010-0000-0000-00000B000000}" name="Trạng thái"/>
    <tableColumn id="12" xr3:uid="{00000000-0010-0000-0000-00000C000000}" name="Ưu tiên"/>
    <tableColumn id="13" xr3:uid="{00000000-0010-0000-0000-00000D000000}" name="Tiến độ">
      <calculatedColumnFormula>IF(K6="Hoàn thành",1,IF(K6="Chờ kiểm tra",0.8,IF(K6="Đang thực hiện",0.5,IF(K6="Bị vướng",0.25,0))))</calculatedColumnFormula>
    </tableColumn>
    <tableColumn id="14" xr3:uid="{00000000-0010-0000-0000-00000E000000}" name="Ghi chú / Vướng mắc"/>
  </tableColumns>
  <tableStyleInfo name="Kế hoạch 10 ngà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N1000"/>
  <sheetViews>
    <sheetView showGridLines="0" tabSelected="1" workbookViewId="0">
      <pane ySplit="4" topLeftCell="A5" activePane="bottomLeft" state="frozen"/>
      <selection pane="bottomLeft" activeCell="A6" sqref="A6:C6"/>
    </sheetView>
  </sheetViews>
  <sheetFormatPr defaultColWidth="12.625" defaultRowHeight="15" customHeight="1"/>
  <cols>
    <col min="1" max="1" width="13" customWidth="1"/>
    <col min="2" max="2" width="20" customWidth="1"/>
    <col min="3" max="3" width="22" customWidth="1"/>
    <col min="4" max="4" width="40" customWidth="1"/>
    <col min="5" max="6" width="13" customWidth="1"/>
    <col min="7" max="7" width="18" customWidth="1"/>
    <col min="8" max="8" width="3" customWidth="1"/>
    <col min="9" max="9" width="17" customWidth="1"/>
    <col min="10" max="10" width="28" customWidth="1"/>
    <col min="11" max="11" width="12" customWidth="1"/>
    <col min="12" max="12" width="17" customWidth="1"/>
    <col min="13" max="13" width="28" customWidth="1"/>
    <col min="14" max="14" width="12" customWidth="1"/>
    <col min="15" max="26" width="8.625" customWidth="1"/>
  </cols>
  <sheetData>
    <row r="1" spans="1:14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>
      <c r="A2" s="32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1.75" customHeight="1">
      <c r="A3" s="33" t="s">
        <v>409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14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4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4.25">
      <c r="A6" s="34" t="s">
        <v>1</v>
      </c>
      <c r="B6" s="27"/>
      <c r="C6" s="28"/>
      <c r="D6" s="35" t="s">
        <v>2</v>
      </c>
      <c r="E6" s="27"/>
      <c r="F6" s="28"/>
      <c r="G6" s="36" t="s">
        <v>3</v>
      </c>
      <c r="H6" s="27"/>
      <c r="I6" s="28"/>
      <c r="J6" s="37" t="s">
        <v>4</v>
      </c>
      <c r="K6" s="27"/>
      <c r="L6" s="28"/>
      <c r="M6" s="1"/>
      <c r="N6" s="1"/>
    </row>
    <row r="7" spans="1:14" ht="14.25">
      <c r="A7" s="38">
        <f>COUNTA('Kế hoạch 10 ngày'!$A$6:$A$78)</f>
        <v>73</v>
      </c>
      <c r="B7" s="21"/>
      <c r="C7" s="23"/>
      <c r="D7" s="30">
        <f>COUNTIF('Kế hoạch 10 ngày'!$K$6:$K$78,"Hoàn thành")</f>
        <v>38</v>
      </c>
      <c r="E7" s="21"/>
      <c r="F7" s="23"/>
      <c r="G7" s="31">
        <f>IFERROR(AVERAGE('Kế hoạch 10 ngày'!$M$6:$M$78),0)</f>
        <v>0.64109589041095882</v>
      </c>
      <c r="H7" s="21"/>
      <c r="I7" s="23"/>
      <c r="J7" s="22">
        <f>IFERROR(COUNTIF('Kế hoạch 10 ngày'!$J$6:$J$78,"☑")/COUNTA('Kế hoạch 10 ngày'!$A$6:$A$78),0)</f>
        <v>0.52054794520547942</v>
      </c>
      <c r="K7" s="21"/>
      <c r="L7" s="23"/>
      <c r="M7" s="1"/>
      <c r="N7" s="1"/>
    </row>
    <row r="8" spans="1:14" ht="14.25">
      <c r="A8" s="24"/>
      <c r="B8" s="18"/>
      <c r="C8" s="19"/>
      <c r="D8" s="24"/>
      <c r="E8" s="18"/>
      <c r="F8" s="19"/>
      <c r="G8" s="24"/>
      <c r="H8" s="18"/>
      <c r="I8" s="19"/>
      <c r="J8" s="24"/>
      <c r="K8" s="18"/>
      <c r="L8" s="19"/>
      <c r="M8" s="1"/>
      <c r="N8" s="1"/>
    </row>
    <row r="9" spans="1:14" ht="14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3" t="s">
        <v>5</v>
      </c>
      <c r="I10" s="21"/>
      <c r="J10" s="21"/>
      <c r="K10" s="21"/>
      <c r="L10" s="21"/>
      <c r="M10" s="21"/>
      <c r="N10" s="21"/>
    </row>
    <row r="11" spans="1:14" ht="14.25">
      <c r="A11" s="4" t="s">
        <v>6</v>
      </c>
      <c r="B11" s="4" t="s">
        <v>7</v>
      </c>
      <c r="C11" s="4" t="s">
        <v>8</v>
      </c>
      <c r="D11" s="4" t="s">
        <v>9</v>
      </c>
      <c r="E11" s="1"/>
      <c r="F11" s="1"/>
      <c r="G11" s="1"/>
      <c r="H11" s="1"/>
      <c r="I11" s="4" t="s">
        <v>10</v>
      </c>
      <c r="J11" s="4" t="s">
        <v>11</v>
      </c>
      <c r="K11" s="4" t="s">
        <v>12</v>
      </c>
      <c r="L11" s="4" t="s">
        <v>10</v>
      </c>
      <c r="M11" s="4" t="s">
        <v>11</v>
      </c>
      <c r="N11" s="4" t="s">
        <v>12</v>
      </c>
    </row>
    <row r="12" spans="1:14" ht="68.099999999999994" customHeight="1">
      <c r="A12" s="5" t="s">
        <v>13</v>
      </c>
      <c r="B12" s="5" t="s">
        <v>14</v>
      </c>
      <c r="C12" s="5" t="s">
        <v>410</v>
      </c>
      <c r="D12" s="5" t="s">
        <v>411</v>
      </c>
      <c r="E12" s="1"/>
      <c r="F12" s="1"/>
      <c r="G12" s="1"/>
      <c r="H12" s="1"/>
      <c r="I12" s="6" t="s">
        <v>15</v>
      </c>
      <c r="J12" s="6" t="s">
        <v>231</v>
      </c>
      <c r="K12" s="6" t="s">
        <v>13</v>
      </c>
      <c r="L12" s="6" t="s">
        <v>16</v>
      </c>
      <c r="M12" s="6" t="s">
        <v>241</v>
      </c>
      <c r="N12" s="6" t="s">
        <v>17</v>
      </c>
    </row>
    <row r="13" spans="1:14" ht="68.099999999999994" customHeight="1">
      <c r="A13" s="5" t="s">
        <v>18</v>
      </c>
      <c r="B13" s="5" t="s">
        <v>19</v>
      </c>
      <c r="C13" s="5" t="s">
        <v>412</v>
      </c>
      <c r="D13" s="5" t="s">
        <v>413</v>
      </c>
      <c r="E13" s="1"/>
      <c r="F13" s="1"/>
      <c r="G13" s="1"/>
      <c r="H13" s="1"/>
      <c r="I13" s="6" t="s">
        <v>20</v>
      </c>
      <c r="J13" s="6" t="s">
        <v>418</v>
      </c>
      <c r="K13" s="6" t="s">
        <v>21</v>
      </c>
      <c r="L13" s="6" t="s">
        <v>22</v>
      </c>
      <c r="M13" s="6" t="s">
        <v>235</v>
      </c>
      <c r="N13" s="6" t="s">
        <v>18</v>
      </c>
    </row>
    <row r="14" spans="1:14" ht="68.099999999999994" customHeight="1">
      <c r="A14" s="5" t="s">
        <v>23</v>
      </c>
      <c r="B14" s="5" t="s">
        <v>24</v>
      </c>
      <c r="C14" s="5" t="s">
        <v>414</v>
      </c>
      <c r="D14" s="5" t="s">
        <v>415</v>
      </c>
      <c r="E14" s="1"/>
      <c r="F14" s="1"/>
      <c r="G14" s="1"/>
      <c r="H14" s="1"/>
      <c r="I14" s="6" t="s">
        <v>25</v>
      </c>
      <c r="J14" s="6" t="s">
        <v>319</v>
      </c>
      <c r="K14" s="6" t="s">
        <v>18</v>
      </c>
      <c r="L14" s="6" t="s">
        <v>24</v>
      </c>
      <c r="M14" s="6" t="s">
        <v>320</v>
      </c>
      <c r="N14" s="6" t="s">
        <v>23</v>
      </c>
    </row>
    <row r="15" spans="1:14" ht="68.099999999999994" customHeight="1">
      <c r="A15" s="5" t="s">
        <v>17</v>
      </c>
      <c r="B15" s="5" t="s">
        <v>26</v>
      </c>
      <c r="C15" s="5" t="s">
        <v>416</v>
      </c>
      <c r="D15" s="5" t="s">
        <v>417</v>
      </c>
      <c r="E15" s="1"/>
      <c r="F15" s="1"/>
      <c r="G15" s="1"/>
      <c r="H15" s="1"/>
      <c r="I15" s="6" t="s">
        <v>27</v>
      </c>
      <c r="J15" s="6" t="s">
        <v>323</v>
      </c>
      <c r="K15" s="6" t="s">
        <v>17</v>
      </c>
      <c r="L15" s="6" t="s">
        <v>28</v>
      </c>
      <c r="M15" s="6" t="s">
        <v>216</v>
      </c>
      <c r="N15" s="6" t="s">
        <v>13</v>
      </c>
    </row>
    <row r="16" spans="1:14" ht="14.25">
      <c r="A16" s="1"/>
      <c r="B16" s="1"/>
      <c r="C16" s="1"/>
      <c r="D16" s="1"/>
      <c r="E16" s="1"/>
      <c r="F16" s="1"/>
      <c r="G16" s="1"/>
      <c r="H16" s="1"/>
      <c r="I16" s="6" t="s">
        <v>29</v>
      </c>
      <c r="J16" s="6" t="s">
        <v>30</v>
      </c>
      <c r="K16" s="6" t="s">
        <v>17</v>
      </c>
      <c r="L16" s="6" t="s">
        <v>31</v>
      </c>
      <c r="M16" s="6" t="s">
        <v>32</v>
      </c>
      <c r="N16" s="6" t="s">
        <v>13</v>
      </c>
    </row>
    <row r="17" spans="1:14">
      <c r="A17" s="25" t="s">
        <v>33</v>
      </c>
      <c r="B17" s="21"/>
      <c r="C17" s="21"/>
      <c r="D17" s="21"/>
      <c r="E17" s="21"/>
      <c r="F17" s="21"/>
      <c r="G17" s="21"/>
      <c r="H17" s="1"/>
      <c r="I17" s="6" t="s">
        <v>34</v>
      </c>
      <c r="J17" s="6" t="s">
        <v>35</v>
      </c>
      <c r="K17" s="6" t="s">
        <v>18</v>
      </c>
      <c r="L17" s="6" t="s">
        <v>36</v>
      </c>
      <c r="M17" s="6" t="s">
        <v>419</v>
      </c>
      <c r="N17" s="6" t="s">
        <v>13</v>
      </c>
    </row>
    <row r="18" spans="1:14" ht="14.25">
      <c r="A18" s="4" t="s">
        <v>37</v>
      </c>
      <c r="B18" s="4" t="s">
        <v>38</v>
      </c>
      <c r="C18" s="4" t="s">
        <v>39</v>
      </c>
      <c r="D18" s="4" t="s">
        <v>40</v>
      </c>
      <c r="E18" s="4" t="s">
        <v>41</v>
      </c>
      <c r="F18" s="4" t="s">
        <v>42</v>
      </c>
      <c r="G18" s="4" t="s">
        <v>43</v>
      </c>
      <c r="H18" s="1"/>
      <c r="I18" s="6" t="s">
        <v>44</v>
      </c>
      <c r="J18" s="6" t="s">
        <v>420</v>
      </c>
      <c r="K18" s="6" t="s">
        <v>21</v>
      </c>
      <c r="L18" s="6" t="s">
        <v>45</v>
      </c>
      <c r="M18" s="6" t="s">
        <v>250</v>
      </c>
      <c r="N18" s="6" t="s">
        <v>13</v>
      </c>
    </row>
    <row r="19" spans="1:14" ht="27" customHeight="1">
      <c r="A19" s="7">
        <v>46296.208333333336</v>
      </c>
      <c r="B19" s="6" t="s">
        <v>46</v>
      </c>
      <c r="C19" s="6" t="s">
        <v>13</v>
      </c>
      <c r="D19" s="5" t="s">
        <v>423</v>
      </c>
      <c r="E19" s="16">
        <f>IFERROR(SUMIF('Kế hoạch 10 ngày'!$B$6:$B$78,A19,'Kế hoạch 10 ngày'!$M$6:$M$78)/COUNTIF('Kế hoạch 10 ngày'!$B$6:$B$78,A19),0)</f>
        <v>1</v>
      </c>
      <c r="F19" s="16">
        <f>IFERROR(COUNTIFS('Kế hoạch 10 ngày'!$B$6:$B$78,A19,'Kế hoạch 10 ngày'!$J$6:$J$78,"☑")/COUNTIF('Kế hoạch 10 ngày'!$B$6:$B$78,A19),0)</f>
        <v>1</v>
      </c>
      <c r="G19" s="6" t="str">
        <f t="shared" ref="G19:G28" si="0">IF(E19=1,"Hoàn thành",IF(E19&gt;0,"Đang thực hiện","Chưa bắt đầu"))</f>
        <v>Hoàn thành</v>
      </c>
      <c r="H19" s="1"/>
      <c r="I19" s="6" t="s">
        <v>47</v>
      </c>
      <c r="J19" s="6" t="s">
        <v>421</v>
      </c>
      <c r="K19" s="6" t="s">
        <v>18</v>
      </c>
      <c r="L19" s="6" t="s">
        <v>48</v>
      </c>
      <c r="M19" s="6" t="s">
        <v>181</v>
      </c>
      <c r="N19" s="6" t="s">
        <v>13</v>
      </c>
    </row>
    <row r="20" spans="1:14" ht="27" customHeight="1">
      <c r="A20" s="7">
        <v>46297.208333333336</v>
      </c>
      <c r="B20" s="6" t="s">
        <v>47</v>
      </c>
      <c r="C20" s="6" t="s">
        <v>18</v>
      </c>
      <c r="D20" s="5" t="s">
        <v>424</v>
      </c>
      <c r="E20" s="16">
        <f>IFERROR(SUMIF('Kế hoạch 10 ngày'!$B$6:$B$78,A20,'Kế hoạch 10 ngày'!$M$6:$M$78)/COUNTIF('Kế hoạch 10 ngày'!$B$6:$B$78,A20),0)</f>
        <v>1</v>
      </c>
      <c r="F20" s="16">
        <f>IFERROR(COUNTIFS('Kế hoạch 10 ngày'!$B$6:$B$78,A20,'Kế hoạch 10 ngày'!$J$6:$J$78,"☑")/COUNTIF('Kế hoạch 10 ngày'!$B$6:$B$78,A20),0)</f>
        <v>1</v>
      </c>
      <c r="G20" s="6" t="str">
        <f t="shared" si="0"/>
        <v>Hoàn thành</v>
      </c>
      <c r="H20" s="1"/>
      <c r="I20" s="6" t="s">
        <v>49</v>
      </c>
      <c r="J20" s="6" t="s">
        <v>422</v>
      </c>
      <c r="K20" s="6" t="s">
        <v>17</v>
      </c>
      <c r="L20" s="6" t="s">
        <v>50</v>
      </c>
      <c r="M20" s="6" t="s">
        <v>222</v>
      </c>
      <c r="N20" s="6" t="s">
        <v>13</v>
      </c>
    </row>
    <row r="21" spans="1:14" ht="27" customHeight="1">
      <c r="A21" s="7">
        <v>46298.208333333336</v>
      </c>
      <c r="B21" s="6" t="s">
        <v>51</v>
      </c>
      <c r="C21" s="6" t="s">
        <v>18</v>
      </c>
      <c r="D21" s="5" t="s">
        <v>425</v>
      </c>
      <c r="E21" s="16">
        <f>IFERROR(SUMIF('Kế hoạch 10 ngày'!$B$6:$B$78,A21,'Kế hoạch 10 ngày'!$M$6:$M$78)/COUNTIF('Kế hoạch 10 ngày'!$B$6:$B$78,A21),0)</f>
        <v>1</v>
      </c>
      <c r="F21" s="16">
        <f>IFERROR(COUNTIFS('Kế hoạch 10 ngày'!$B$6:$B$78,A21,'Kế hoạch 10 ngày'!$J$6:$J$78,"☑")/COUNTIF('Kế hoạch 10 ngày'!$B$6:$B$78,A21),0)</f>
        <v>1</v>
      </c>
      <c r="G21" s="6" t="str">
        <f t="shared" si="0"/>
        <v>Hoàn thành</v>
      </c>
      <c r="H21" s="1"/>
      <c r="I21" s="6" t="s">
        <v>52</v>
      </c>
      <c r="J21" s="6" t="s">
        <v>53</v>
      </c>
      <c r="K21" s="6" t="s">
        <v>18</v>
      </c>
      <c r="L21" s="6" t="s">
        <v>54</v>
      </c>
      <c r="M21" s="7">
        <v>46306.208333333336</v>
      </c>
      <c r="N21" s="6" t="s">
        <v>21</v>
      </c>
    </row>
    <row r="22" spans="1:14" ht="27" customHeight="1">
      <c r="A22" s="7">
        <v>46299.208333333336</v>
      </c>
      <c r="B22" s="6" t="s">
        <v>55</v>
      </c>
      <c r="C22" s="6" t="s">
        <v>56</v>
      </c>
      <c r="D22" s="5" t="s">
        <v>57</v>
      </c>
      <c r="E22" s="16">
        <f>IFERROR(SUMIF('Kế hoạch 10 ngày'!$B$6:$B$78,A22,'Kế hoạch 10 ngày'!$M$6:$M$78)/COUNTIF('Kế hoạch 10 ngày'!$B$6:$B$78,A22),0)</f>
        <v>1</v>
      </c>
      <c r="F22" s="16">
        <f>IFERROR(COUNTIFS('Kế hoạch 10 ngày'!$B$6:$B$78,A22,'Kế hoạch 10 ngày'!$J$6:$J$78,"☑")/COUNTIF('Kế hoạch 10 ngày'!$B$6:$B$78,A22),0)</f>
        <v>1</v>
      </c>
      <c r="G22" s="6" t="str">
        <f t="shared" si="0"/>
        <v>Hoàn thành</v>
      </c>
      <c r="H22" s="1"/>
      <c r="I22" s="1"/>
      <c r="J22" s="1"/>
      <c r="K22" s="1"/>
      <c r="L22" s="1"/>
      <c r="M22" s="1"/>
      <c r="N22" s="1"/>
    </row>
    <row r="23" spans="1:14" ht="27" customHeight="1">
      <c r="A23" s="7">
        <v>46300.208333333336</v>
      </c>
      <c r="B23" s="6" t="s">
        <v>58</v>
      </c>
      <c r="C23" s="6" t="s">
        <v>21</v>
      </c>
      <c r="D23" s="5" t="s">
        <v>426</v>
      </c>
      <c r="E23" s="16">
        <f>IFERROR(SUMIF('Kế hoạch 10 ngày'!$B$6:$B$78,A23,'Kế hoạch 10 ngày'!$M$6:$M$78)/COUNTIF('Kế hoạch 10 ngày'!$B$6:$B$78,A23),0)</f>
        <v>0.91666666666666663</v>
      </c>
      <c r="F23" s="16">
        <f>IFERROR(COUNTIFS('Kế hoạch 10 ngày'!$B$6:$B$78,A23,'Kế hoạch 10 ngày'!$J$6:$J$78,"☑")/COUNTIF('Kế hoạch 10 ngày'!$B$6:$B$78,A23),0)</f>
        <v>0.83333333333333337</v>
      </c>
      <c r="G23" s="6" t="str">
        <f t="shared" si="0"/>
        <v>Đang thực hiện</v>
      </c>
      <c r="H23" s="1"/>
      <c r="I23" s="25" t="s">
        <v>59</v>
      </c>
      <c r="J23" s="21"/>
      <c r="K23" s="21"/>
      <c r="L23" s="21"/>
      <c r="M23" s="21"/>
      <c r="N23" s="21"/>
    </row>
    <row r="24" spans="1:14" ht="27" customHeight="1">
      <c r="A24" s="7">
        <v>46301.208333333336</v>
      </c>
      <c r="B24" s="6" t="s">
        <v>60</v>
      </c>
      <c r="C24" s="6" t="s">
        <v>56</v>
      </c>
      <c r="D24" s="5" t="s">
        <v>427</v>
      </c>
      <c r="E24" s="16">
        <f>IFERROR(SUMIF('Kế hoạch 10 ngày'!$B$6:$B$78,A24,'Kế hoạch 10 ngày'!$M$6:$M$78)/COUNTIF('Kế hoạch 10 ngày'!$B$6:$B$78,A24),0)</f>
        <v>0.5</v>
      </c>
      <c r="F24" s="16">
        <f>IFERROR(COUNTIFS('Kế hoạch 10 ngày'!$B$6:$B$78,A24,'Kế hoạch 10 ngày'!$J$6:$J$78,"☑")/COUNTIF('Kế hoạch 10 ngày'!$B$6:$B$78,A24),0)</f>
        <v>0.2</v>
      </c>
      <c r="G24" s="6" t="str">
        <f t="shared" si="0"/>
        <v>Đang thực hiện</v>
      </c>
      <c r="H24" s="1"/>
      <c r="I24" s="26" t="s">
        <v>61</v>
      </c>
      <c r="J24" s="27"/>
      <c r="K24" s="27"/>
      <c r="L24" s="27"/>
      <c r="M24" s="27"/>
      <c r="N24" s="28"/>
    </row>
    <row r="25" spans="1:14" ht="27" customHeight="1">
      <c r="A25" s="7">
        <v>46302.208333333336</v>
      </c>
      <c r="B25" s="6" t="s">
        <v>62</v>
      </c>
      <c r="C25" s="6" t="s">
        <v>21</v>
      </c>
      <c r="D25" s="5" t="s">
        <v>428</v>
      </c>
      <c r="E25" s="16">
        <f>IFERROR(SUMIF('Kế hoạch 10 ngày'!$B$6:$B$78,A25,'Kế hoạch 10 ngày'!$M$6:$M$78)/COUNTIF('Kế hoạch 10 ngày'!$B$6:$B$78,A25),0)</f>
        <v>0.2</v>
      </c>
      <c r="F25" s="16">
        <f>IFERROR(COUNTIFS('Kế hoạch 10 ngày'!$B$6:$B$78,A25,'Kế hoạch 10 ngày'!$J$6:$J$78,"☑")/COUNTIF('Kế hoạch 10 ngày'!$B$6:$B$78,A25),0)</f>
        <v>0.1</v>
      </c>
      <c r="G25" s="6" t="str">
        <f t="shared" si="0"/>
        <v>Đang thực hiện</v>
      </c>
      <c r="H25" s="1"/>
      <c r="I25" s="29" t="s">
        <v>63</v>
      </c>
      <c r="J25" s="21"/>
      <c r="K25" s="21"/>
      <c r="L25" s="21"/>
      <c r="M25" s="21"/>
      <c r="N25" s="23"/>
    </row>
    <row r="26" spans="1:14" ht="27" customHeight="1">
      <c r="A26" s="7">
        <v>46303.208333333336</v>
      </c>
      <c r="B26" s="6" t="s">
        <v>64</v>
      </c>
      <c r="C26" s="6" t="s">
        <v>56</v>
      </c>
      <c r="D26" s="5" t="s">
        <v>65</v>
      </c>
      <c r="E26" s="16">
        <f>IFERROR(SUMIF('Kế hoạch 10 ngày'!$B$6:$B$78,A26,'Kế hoạch 10 ngày'!$M$6:$M$78)/COUNTIF('Kế hoạch 10 ngày'!$B$6:$B$78,A26),0)</f>
        <v>0</v>
      </c>
      <c r="F26" s="16">
        <f>IFERROR(COUNTIFS('Kế hoạch 10 ngày'!$B$6:$B$78,A26,'Kế hoạch 10 ngày'!$J$6:$J$78,"☑")/COUNTIF('Kế hoạch 10 ngày'!$B$6:$B$78,A26),0)</f>
        <v>0</v>
      </c>
      <c r="G26" s="6" t="str">
        <f t="shared" si="0"/>
        <v>Chưa bắt đầu</v>
      </c>
      <c r="H26" s="1"/>
      <c r="I26" s="29" t="s">
        <v>66</v>
      </c>
      <c r="J26" s="21"/>
      <c r="K26" s="21"/>
      <c r="L26" s="21"/>
      <c r="M26" s="21"/>
      <c r="N26" s="23"/>
    </row>
    <row r="27" spans="1:14" ht="27" customHeight="1">
      <c r="A27" s="7">
        <v>46304.208333333336</v>
      </c>
      <c r="B27" s="6" t="s">
        <v>67</v>
      </c>
      <c r="C27" s="6" t="s">
        <v>13</v>
      </c>
      <c r="D27" s="5" t="s">
        <v>68</v>
      </c>
      <c r="E27" s="16">
        <f>IFERROR(SUMIF('Kế hoạch 10 ngày'!$B$6:$B$78,A27,'Kế hoạch 10 ngày'!$M$6:$M$78)/COUNTIF('Kế hoạch 10 ngày'!$B$6:$B$78,A27),0)</f>
        <v>0.47777777777777775</v>
      </c>
      <c r="F27" s="16">
        <f>IFERROR(COUNTIFS('Kế hoạch 10 ngày'!$B$6:$B$78,A27,'Kế hoạch 10 ngày'!$J$6:$J$78,"☑")/COUNTIF('Kế hoạch 10 ngày'!$B$6:$B$78,A27),0)</f>
        <v>0</v>
      </c>
      <c r="G27" s="6" t="str">
        <f t="shared" si="0"/>
        <v>Đang thực hiện</v>
      </c>
      <c r="H27" s="1"/>
      <c r="I27" s="29" t="s">
        <v>69</v>
      </c>
      <c r="J27" s="21"/>
      <c r="K27" s="21"/>
      <c r="L27" s="21"/>
      <c r="M27" s="21"/>
      <c r="N27" s="23"/>
    </row>
    <row r="28" spans="1:14" ht="27" customHeight="1">
      <c r="A28" s="7">
        <v>46305.208333333336</v>
      </c>
      <c r="B28" s="6" t="s">
        <v>70</v>
      </c>
      <c r="C28" s="6" t="s">
        <v>21</v>
      </c>
      <c r="D28" s="5" t="s">
        <v>71</v>
      </c>
      <c r="E28" s="16">
        <f>IFERROR(SUMIF('Kế hoạch 10 ngày'!$B$6:$B$78,A28,'Kế hoạch 10 ngày'!$M$6:$M$78)/COUNTIF('Kế hoạch 10 ngày'!$B$6:$B$78,A28),0)</f>
        <v>0.16666666666666666</v>
      </c>
      <c r="F28" s="16">
        <f>IFERROR(COUNTIFS('Kế hoạch 10 ngày'!$B$6:$B$78,A28,'Kế hoạch 10 ngày'!$J$6:$J$78,"☑")/COUNTIF('Kế hoạch 10 ngày'!$B$6:$B$78,A28),0)</f>
        <v>0</v>
      </c>
      <c r="G28" s="6" t="str">
        <f t="shared" si="0"/>
        <v>Đang thực hiện</v>
      </c>
      <c r="H28" s="1"/>
      <c r="I28" s="17" t="s">
        <v>72</v>
      </c>
      <c r="J28" s="18"/>
      <c r="K28" s="18"/>
      <c r="L28" s="18"/>
      <c r="M28" s="18"/>
      <c r="N28" s="19"/>
    </row>
    <row r="29" spans="1:14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customHeight="1">
      <c r="A31" s="20" t="s">
        <v>73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15.75" customHeight="1"/>
    <row r="42" spans="1:14" ht="15.75" customHeight="1"/>
    <row r="43" spans="1:14" ht="15.75" customHeight="1"/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2:N2"/>
    <mergeCell ref="A3:N3"/>
    <mergeCell ref="A6:C6"/>
    <mergeCell ref="D6:F6"/>
    <mergeCell ref="G6:I6"/>
    <mergeCell ref="J6:L6"/>
    <mergeCell ref="I28:N28"/>
    <mergeCell ref="A31:N31"/>
    <mergeCell ref="J7:L8"/>
    <mergeCell ref="I10:N10"/>
    <mergeCell ref="I23:N23"/>
    <mergeCell ref="I24:N24"/>
    <mergeCell ref="I25:N25"/>
    <mergeCell ref="I26:N26"/>
    <mergeCell ref="I27:N27"/>
    <mergeCell ref="D7:F8"/>
    <mergeCell ref="G7:I8"/>
    <mergeCell ref="A17:G17"/>
    <mergeCell ref="A7:C8"/>
  </mergeCells>
  <conditionalFormatting sqref="G19:G28">
    <cfRule type="containsText" dxfId="13" priority="1" operator="containsText" text="Hoàn thành">
      <formula>NOT(ISERROR(SEARCH(("Hoàn thành"),(G19))))</formula>
    </cfRule>
    <cfRule type="containsText" dxfId="12" priority="2" operator="containsText" text="Đang thực hiện">
      <formula>NOT(ISERROR(SEARCH(("Đang thực hiện"),(G19))))</formula>
    </cfRule>
    <cfRule type="containsText" dxfId="11" priority="3" operator="containsText" text="Chưa bắt đầu">
      <formula>NOT(ISERROR(SEARCH(("Chưa bắt đầu"),(G19))))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9D8F"/>
  </sheetPr>
  <dimension ref="A1:N1000"/>
  <sheetViews>
    <sheetView showGridLines="0" workbookViewId="0">
      <pane xSplit="2" ySplit="5" topLeftCell="C65" activePane="bottomRight" state="frozen"/>
      <selection pane="topRight" activeCell="C1" sqref="C1"/>
      <selection pane="bottomLeft" activeCell="A6" sqref="A6"/>
      <selection pane="bottomRight" activeCell="A74" sqref="A74:N78"/>
    </sheetView>
  </sheetViews>
  <sheetFormatPr defaultColWidth="12.625" defaultRowHeight="15" customHeight="1"/>
  <cols>
    <col min="1" max="1" width="7" customWidth="1"/>
    <col min="2" max="2" width="13" customWidth="1"/>
    <col min="3" max="3" width="18" customWidth="1"/>
    <col min="4" max="4" width="45" customWidth="1"/>
    <col min="5" max="5" width="17" customWidth="1"/>
    <col min="6" max="6" width="18" customWidth="1"/>
    <col min="7" max="7" width="36" customWidth="1"/>
    <col min="8" max="8" width="35" customWidth="1"/>
    <col min="9" max="9" width="40" customWidth="1"/>
    <col min="10" max="10" width="13" customWidth="1"/>
    <col min="11" max="11" width="19" customWidth="1"/>
    <col min="12" max="12" width="14" customWidth="1"/>
    <col min="13" max="13" width="16" customWidth="1"/>
    <col min="14" max="14" width="34" customWidth="1"/>
    <col min="15" max="26" width="8.625" customWidth="1"/>
  </cols>
  <sheetData>
    <row r="1" spans="1:14" ht="14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0" customHeight="1">
      <c r="A2" s="32" t="s">
        <v>74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4.25">
      <c r="A3" s="39" t="s">
        <v>75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14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33.75" customHeight="1">
      <c r="A5" s="10" t="s">
        <v>76</v>
      </c>
      <c r="B5" s="10" t="s">
        <v>37</v>
      </c>
      <c r="C5" s="10" t="s">
        <v>77</v>
      </c>
      <c r="D5" s="10" t="s">
        <v>78</v>
      </c>
      <c r="E5" s="10" t="s">
        <v>79</v>
      </c>
      <c r="F5" s="10" t="s">
        <v>80</v>
      </c>
      <c r="G5" s="10" t="s">
        <v>81</v>
      </c>
      <c r="H5" s="10" t="s">
        <v>11</v>
      </c>
      <c r="I5" s="10" t="s">
        <v>82</v>
      </c>
      <c r="J5" s="10" t="s">
        <v>83</v>
      </c>
      <c r="K5" s="10" t="s">
        <v>43</v>
      </c>
      <c r="L5" s="10" t="s">
        <v>84</v>
      </c>
      <c r="M5" s="10" t="s">
        <v>41</v>
      </c>
      <c r="N5" s="10" t="s">
        <v>85</v>
      </c>
    </row>
    <row r="6" spans="1:14" ht="42" customHeight="1">
      <c r="A6" s="11">
        <v>1</v>
      </c>
      <c r="B6" s="12">
        <v>46296.208333333336</v>
      </c>
      <c r="C6" s="11" t="s">
        <v>46</v>
      </c>
      <c r="D6" s="5" t="s">
        <v>86</v>
      </c>
      <c r="E6" s="13" t="s">
        <v>13</v>
      </c>
      <c r="F6" s="13" t="s">
        <v>21</v>
      </c>
      <c r="G6" s="5" t="s">
        <v>252</v>
      </c>
      <c r="H6" s="5" t="s">
        <v>87</v>
      </c>
      <c r="I6" s="5" t="s">
        <v>88</v>
      </c>
      <c r="J6" s="14" t="s">
        <v>253</v>
      </c>
      <c r="K6" s="6" t="s">
        <v>254</v>
      </c>
      <c r="L6" s="6" t="s">
        <v>91</v>
      </c>
      <c r="M6" s="15">
        <f t="shared" ref="M6:M37" si="0">IF(K6="Hoàn thành",1,IF(K6="Chờ kiểm tra",0.8,IF(K6="Đang thực hiện",0.5,IF(K6="Bị vướng",0.25,0))))</f>
        <v>1</v>
      </c>
      <c r="N6" s="5"/>
    </row>
    <row r="7" spans="1:14" ht="42" customHeight="1">
      <c r="A7" s="11">
        <v>2</v>
      </c>
      <c r="B7" s="12">
        <v>46296.208333333336</v>
      </c>
      <c r="C7" s="11" t="s">
        <v>46</v>
      </c>
      <c r="D7" s="5" t="s">
        <v>92</v>
      </c>
      <c r="E7" s="13" t="s">
        <v>18</v>
      </c>
      <c r="F7" s="13" t="s">
        <v>13</v>
      </c>
      <c r="G7" s="5" t="s">
        <v>255</v>
      </c>
      <c r="H7" s="5" t="s">
        <v>93</v>
      </c>
      <c r="I7" s="5" t="s">
        <v>94</v>
      </c>
      <c r="J7" s="14" t="s">
        <v>253</v>
      </c>
      <c r="K7" s="6" t="s">
        <v>254</v>
      </c>
      <c r="L7" s="6" t="s">
        <v>91</v>
      </c>
      <c r="M7" s="15">
        <f t="shared" si="0"/>
        <v>1</v>
      </c>
      <c r="N7" s="5" t="s">
        <v>380</v>
      </c>
    </row>
    <row r="8" spans="1:14" ht="42" customHeight="1">
      <c r="A8" s="11">
        <v>3</v>
      </c>
      <c r="B8" s="12">
        <v>46296.208333333336</v>
      </c>
      <c r="C8" s="11" t="s">
        <v>46</v>
      </c>
      <c r="D8" s="5" t="s">
        <v>256</v>
      </c>
      <c r="E8" s="13" t="s">
        <v>23</v>
      </c>
      <c r="F8" s="13" t="s">
        <v>13</v>
      </c>
      <c r="G8" s="5" t="s">
        <v>95</v>
      </c>
      <c r="H8" s="5" t="s">
        <v>93</v>
      </c>
      <c r="I8" s="5" t="s">
        <v>96</v>
      </c>
      <c r="J8" s="14" t="s">
        <v>253</v>
      </c>
      <c r="K8" s="6" t="s">
        <v>254</v>
      </c>
      <c r="L8" s="6" t="s">
        <v>91</v>
      </c>
      <c r="M8" s="15">
        <f t="shared" si="0"/>
        <v>1</v>
      </c>
      <c r="N8" s="5" t="s">
        <v>381</v>
      </c>
    </row>
    <row r="9" spans="1:14" ht="42" customHeight="1">
      <c r="A9" s="11">
        <v>4</v>
      </c>
      <c r="B9" s="12">
        <v>46296.208333333336</v>
      </c>
      <c r="C9" s="11" t="s">
        <v>46</v>
      </c>
      <c r="D9" s="5" t="s">
        <v>257</v>
      </c>
      <c r="E9" s="13" t="s">
        <v>17</v>
      </c>
      <c r="F9" s="13" t="s">
        <v>13</v>
      </c>
      <c r="G9" s="5" t="s">
        <v>97</v>
      </c>
      <c r="H9" s="5" t="s">
        <v>93</v>
      </c>
      <c r="I9" s="5" t="s">
        <v>98</v>
      </c>
      <c r="J9" s="14" t="s">
        <v>253</v>
      </c>
      <c r="K9" s="6" t="s">
        <v>254</v>
      </c>
      <c r="L9" s="6" t="s">
        <v>91</v>
      </c>
      <c r="M9" s="15">
        <f t="shared" si="0"/>
        <v>1</v>
      </c>
      <c r="N9" s="5" t="s">
        <v>382</v>
      </c>
    </row>
    <row r="10" spans="1:14" ht="42" customHeight="1">
      <c r="A10" s="11">
        <v>5</v>
      </c>
      <c r="B10" s="12">
        <v>46296.208333333336</v>
      </c>
      <c r="C10" s="11" t="s">
        <v>46</v>
      </c>
      <c r="D10" s="5" t="s">
        <v>99</v>
      </c>
      <c r="E10" s="13" t="s">
        <v>13</v>
      </c>
      <c r="F10" s="13" t="s">
        <v>21</v>
      </c>
      <c r="G10" s="5" t="s">
        <v>258</v>
      </c>
      <c r="H10" s="5" t="s">
        <v>259</v>
      </c>
      <c r="I10" s="5" t="s">
        <v>260</v>
      </c>
      <c r="J10" s="14" t="s">
        <v>253</v>
      </c>
      <c r="K10" s="6" t="s">
        <v>254</v>
      </c>
      <c r="L10" s="6" t="s">
        <v>91</v>
      </c>
      <c r="M10" s="15">
        <f t="shared" si="0"/>
        <v>1</v>
      </c>
      <c r="N10" s="5" t="s">
        <v>383</v>
      </c>
    </row>
    <row r="11" spans="1:14" ht="42" customHeight="1">
      <c r="A11" s="11">
        <v>6</v>
      </c>
      <c r="B11" s="12">
        <v>46296.208333333336</v>
      </c>
      <c r="C11" s="11" t="s">
        <v>46</v>
      </c>
      <c r="D11" s="5" t="s">
        <v>100</v>
      </c>
      <c r="E11" s="13" t="s">
        <v>13</v>
      </c>
      <c r="F11" s="13" t="s">
        <v>18</v>
      </c>
      <c r="G11" s="5" t="s">
        <v>261</v>
      </c>
      <c r="H11" s="5" t="s">
        <v>101</v>
      </c>
      <c r="I11" s="5" t="s">
        <v>102</v>
      </c>
      <c r="J11" s="14" t="s">
        <v>253</v>
      </c>
      <c r="K11" s="6" t="s">
        <v>254</v>
      </c>
      <c r="L11" s="6" t="s">
        <v>91</v>
      </c>
      <c r="M11" s="15">
        <f t="shared" si="0"/>
        <v>1</v>
      </c>
      <c r="N11" s="5" t="s">
        <v>384</v>
      </c>
    </row>
    <row r="12" spans="1:14" ht="42" customHeight="1">
      <c r="A12" s="11">
        <v>7</v>
      </c>
      <c r="B12" s="12">
        <v>46296.208333333336</v>
      </c>
      <c r="C12" s="11" t="s">
        <v>46</v>
      </c>
      <c r="D12" s="5" t="s">
        <v>262</v>
      </c>
      <c r="E12" s="13" t="s">
        <v>13</v>
      </c>
      <c r="F12" s="13" t="s">
        <v>21</v>
      </c>
      <c r="G12" s="5" t="s">
        <v>263</v>
      </c>
      <c r="H12" s="5" t="s">
        <v>264</v>
      </c>
      <c r="I12" s="5" t="s">
        <v>265</v>
      </c>
      <c r="J12" s="14" t="s">
        <v>253</v>
      </c>
      <c r="K12" s="6" t="s">
        <v>254</v>
      </c>
      <c r="L12" s="6" t="s">
        <v>103</v>
      </c>
      <c r="M12" s="15">
        <f t="shared" si="0"/>
        <v>1</v>
      </c>
      <c r="N12" s="5" t="s">
        <v>385</v>
      </c>
    </row>
    <row r="13" spans="1:14" ht="42" customHeight="1">
      <c r="A13" s="11">
        <v>8</v>
      </c>
      <c r="B13" s="12">
        <v>46297.208333333336</v>
      </c>
      <c r="C13" s="11" t="s">
        <v>47</v>
      </c>
      <c r="D13" s="5" t="s">
        <v>104</v>
      </c>
      <c r="E13" s="13" t="s">
        <v>18</v>
      </c>
      <c r="F13" s="13" t="s">
        <v>13</v>
      </c>
      <c r="G13" s="5" t="s">
        <v>266</v>
      </c>
      <c r="H13" s="5" t="s">
        <v>267</v>
      </c>
      <c r="I13" s="5" t="s">
        <v>268</v>
      </c>
      <c r="J13" s="14" t="s">
        <v>253</v>
      </c>
      <c r="K13" s="6" t="s">
        <v>254</v>
      </c>
      <c r="L13" s="6" t="s">
        <v>91</v>
      </c>
      <c r="M13" s="15">
        <f t="shared" si="0"/>
        <v>1</v>
      </c>
      <c r="N13" s="5" t="s">
        <v>386</v>
      </c>
    </row>
    <row r="14" spans="1:14" ht="42" customHeight="1">
      <c r="A14" s="11">
        <v>9</v>
      </c>
      <c r="B14" s="12">
        <v>46297.208333333336</v>
      </c>
      <c r="C14" s="11" t="s">
        <v>47</v>
      </c>
      <c r="D14" s="5" t="s">
        <v>269</v>
      </c>
      <c r="E14" s="13" t="s">
        <v>18</v>
      </c>
      <c r="F14" s="13" t="s">
        <v>23</v>
      </c>
      <c r="G14" s="5" t="s">
        <v>270</v>
      </c>
      <c r="H14" s="5" t="s">
        <v>105</v>
      </c>
      <c r="I14" s="5" t="s">
        <v>106</v>
      </c>
      <c r="J14" s="14" t="s">
        <v>253</v>
      </c>
      <c r="K14" s="6" t="s">
        <v>254</v>
      </c>
      <c r="L14" s="6" t="s">
        <v>91</v>
      </c>
      <c r="M14" s="15">
        <f t="shared" si="0"/>
        <v>1</v>
      </c>
      <c r="N14" s="5"/>
    </row>
    <row r="15" spans="1:14" ht="42" customHeight="1">
      <c r="A15" s="11">
        <v>10</v>
      </c>
      <c r="B15" s="12">
        <v>46297.208333333336</v>
      </c>
      <c r="C15" s="11" t="s">
        <v>47</v>
      </c>
      <c r="D15" s="5" t="s">
        <v>107</v>
      </c>
      <c r="E15" s="13" t="s">
        <v>18</v>
      </c>
      <c r="F15" s="13" t="s">
        <v>13</v>
      </c>
      <c r="G15" s="5" t="s">
        <v>108</v>
      </c>
      <c r="H15" s="5" t="s">
        <v>109</v>
      </c>
      <c r="I15" s="5" t="s">
        <v>110</v>
      </c>
      <c r="J15" s="14" t="s">
        <v>253</v>
      </c>
      <c r="K15" s="6" t="s">
        <v>254</v>
      </c>
      <c r="L15" s="6" t="s">
        <v>91</v>
      </c>
      <c r="M15" s="15">
        <f t="shared" si="0"/>
        <v>1</v>
      </c>
      <c r="N15" s="5"/>
    </row>
    <row r="16" spans="1:14" ht="42" customHeight="1">
      <c r="A16" s="11">
        <v>11</v>
      </c>
      <c r="B16" s="12">
        <v>46297.208333333336</v>
      </c>
      <c r="C16" s="11" t="s">
        <v>47</v>
      </c>
      <c r="D16" s="5" t="s">
        <v>111</v>
      </c>
      <c r="E16" s="13" t="s">
        <v>18</v>
      </c>
      <c r="F16" s="13" t="s">
        <v>13</v>
      </c>
      <c r="G16" s="5" t="s">
        <v>112</v>
      </c>
      <c r="H16" s="5" t="s">
        <v>113</v>
      </c>
      <c r="I16" s="5" t="s">
        <v>114</v>
      </c>
      <c r="J16" s="14" t="s">
        <v>253</v>
      </c>
      <c r="K16" s="6" t="s">
        <v>254</v>
      </c>
      <c r="L16" s="6" t="s">
        <v>91</v>
      </c>
      <c r="M16" s="15">
        <f t="shared" si="0"/>
        <v>1</v>
      </c>
      <c r="N16" s="5" t="s">
        <v>387</v>
      </c>
    </row>
    <row r="17" spans="1:14" ht="42" customHeight="1">
      <c r="A17" s="11">
        <v>12</v>
      </c>
      <c r="B17" s="12">
        <v>46297.208333333336</v>
      </c>
      <c r="C17" s="11" t="s">
        <v>47</v>
      </c>
      <c r="D17" s="5" t="s">
        <v>271</v>
      </c>
      <c r="E17" s="13" t="s">
        <v>13</v>
      </c>
      <c r="F17" s="13" t="s">
        <v>18</v>
      </c>
      <c r="G17" s="5" t="s">
        <v>115</v>
      </c>
      <c r="H17" s="5" t="s">
        <v>116</v>
      </c>
      <c r="I17" s="5" t="s">
        <v>117</v>
      </c>
      <c r="J17" s="14" t="s">
        <v>253</v>
      </c>
      <c r="K17" s="6" t="s">
        <v>254</v>
      </c>
      <c r="L17" s="6" t="s">
        <v>103</v>
      </c>
      <c r="M17" s="15">
        <f t="shared" si="0"/>
        <v>1</v>
      </c>
      <c r="N17" s="5"/>
    </row>
    <row r="18" spans="1:14" ht="42" customHeight="1">
      <c r="A18" s="11">
        <v>13</v>
      </c>
      <c r="B18" s="12">
        <v>46297.208333333336</v>
      </c>
      <c r="C18" s="11" t="s">
        <v>47</v>
      </c>
      <c r="D18" s="5" t="s">
        <v>272</v>
      </c>
      <c r="E18" s="13" t="s">
        <v>18</v>
      </c>
      <c r="F18" s="13" t="s">
        <v>13</v>
      </c>
      <c r="G18" s="5" t="s">
        <v>273</v>
      </c>
      <c r="H18" s="5" t="s">
        <v>274</v>
      </c>
      <c r="I18" s="5" t="s">
        <v>275</v>
      </c>
      <c r="J18" s="14" t="s">
        <v>253</v>
      </c>
      <c r="K18" s="6" t="s">
        <v>254</v>
      </c>
      <c r="L18" s="6" t="s">
        <v>91</v>
      </c>
      <c r="M18" s="15">
        <f t="shared" si="0"/>
        <v>1</v>
      </c>
      <c r="N18" s="5" t="s">
        <v>388</v>
      </c>
    </row>
    <row r="19" spans="1:14" ht="42" customHeight="1">
      <c r="A19" s="11">
        <v>14</v>
      </c>
      <c r="B19" s="12">
        <v>46297.208333333336</v>
      </c>
      <c r="C19" s="11" t="s">
        <v>47</v>
      </c>
      <c r="D19" s="5" t="s">
        <v>276</v>
      </c>
      <c r="E19" s="13" t="s">
        <v>17</v>
      </c>
      <c r="F19" s="13" t="s">
        <v>18</v>
      </c>
      <c r="G19" s="5" t="s">
        <v>277</v>
      </c>
      <c r="H19" s="5" t="s">
        <v>278</v>
      </c>
      <c r="I19" s="5" t="s">
        <v>118</v>
      </c>
      <c r="J19" s="14" t="s">
        <v>253</v>
      </c>
      <c r="K19" s="6" t="s">
        <v>254</v>
      </c>
      <c r="L19" s="6" t="s">
        <v>103</v>
      </c>
      <c r="M19" s="15">
        <f t="shared" si="0"/>
        <v>1</v>
      </c>
      <c r="N19" s="5"/>
    </row>
    <row r="20" spans="1:14" ht="42" customHeight="1">
      <c r="A20" s="11">
        <v>15</v>
      </c>
      <c r="B20" s="12">
        <v>46297.208333333336</v>
      </c>
      <c r="C20" s="11" t="s">
        <v>47</v>
      </c>
      <c r="D20" s="5" t="s">
        <v>119</v>
      </c>
      <c r="E20" s="13" t="s">
        <v>18</v>
      </c>
      <c r="F20" s="13" t="s">
        <v>13</v>
      </c>
      <c r="G20" s="5" t="s">
        <v>279</v>
      </c>
      <c r="H20" s="5" t="s">
        <v>280</v>
      </c>
      <c r="I20" s="5" t="s">
        <v>120</v>
      </c>
      <c r="J20" s="14" t="s">
        <v>253</v>
      </c>
      <c r="K20" s="6" t="s">
        <v>254</v>
      </c>
      <c r="L20" s="6" t="s">
        <v>103</v>
      </c>
      <c r="M20" s="15">
        <f t="shared" si="0"/>
        <v>1</v>
      </c>
      <c r="N20" s="5"/>
    </row>
    <row r="21" spans="1:14" ht="42" customHeight="1">
      <c r="A21" s="11">
        <v>16</v>
      </c>
      <c r="B21" s="12">
        <v>46298.208333333336</v>
      </c>
      <c r="C21" s="11" t="s">
        <v>51</v>
      </c>
      <c r="D21" s="5" t="s">
        <v>121</v>
      </c>
      <c r="E21" s="13" t="s">
        <v>18</v>
      </c>
      <c r="F21" s="13" t="s">
        <v>13</v>
      </c>
      <c r="G21" s="5" t="s">
        <v>281</v>
      </c>
      <c r="H21" s="5" t="s">
        <v>122</v>
      </c>
      <c r="I21" s="5" t="s">
        <v>123</v>
      </c>
      <c r="J21" s="14" t="s">
        <v>253</v>
      </c>
      <c r="K21" s="6" t="s">
        <v>254</v>
      </c>
      <c r="L21" s="6" t="s">
        <v>91</v>
      </c>
      <c r="M21" s="15">
        <f t="shared" si="0"/>
        <v>1</v>
      </c>
      <c r="N21" s="5"/>
    </row>
    <row r="22" spans="1:14" ht="42" customHeight="1">
      <c r="A22" s="11">
        <v>17</v>
      </c>
      <c r="B22" s="12">
        <v>46298.208333333336</v>
      </c>
      <c r="C22" s="11" t="s">
        <v>51</v>
      </c>
      <c r="D22" s="5" t="s">
        <v>282</v>
      </c>
      <c r="E22" s="13" t="s">
        <v>18</v>
      </c>
      <c r="F22" s="13" t="s">
        <v>13</v>
      </c>
      <c r="G22" s="5" t="s">
        <v>283</v>
      </c>
      <c r="H22" s="5" t="s">
        <v>124</v>
      </c>
      <c r="I22" s="5" t="s">
        <v>284</v>
      </c>
      <c r="J22" s="14" t="s">
        <v>253</v>
      </c>
      <c r="K22" s="6" t="s">
        <v>254</v>
      </c>
      <c r="L22" s="6" t="s">
        <v>91</v>
      </c>
      <c r="M22" s="15">
        <f t="shared" si="0"/>
        <v>1</v>
      </c>
      <c r="N22" s="5" t="s">
        <v>389</v>
      </c>
    </row>
    <row r="23" spans="1:14" ht="42" customHeight="1">
      <c r="A23" s="11">
        <v>18</v>
      </c>
      <c r="B23" s="12">
        <v>46298.208333333336</v>
      </c>
      <c r="C23" s="11" t="s">
        <v>51</v>
      </c>
      <c r="D23" s="5" t="s">
        <v>125</v>
      </c>
      <c r="E23" s="13" t="s">
        <v>13</v>
      </c>
      <c r="F23" s="13" t="s">
        <v>18</v>
      </c>
      <c r="G23" s="5" t="s">
        <v>285</v>
      </c>
      <c r="H23" s="5" t="s">
        <v>286</v>
      </c>
      <c r="I23" s="5" t="s">
        <v>287</v>
      </c>
      <c r="J23" s="14" t="s">
        <v>253</v>
      </c>
      <c r="K23" s="6" t="s">
        <v>254</v>
      </c>
      <c r="L23" s="6" t="s">
        <v>91</v>
      </c>
      <c r="M23" s="15">
        <f t="shared" si="0"/>
        <v>1</v>
      </c>
      <c r="N23" s="5" t="s">
        <v>390</v>
      </c>
    </row>
    <row r="24" spans="1:14" ht="42" customHeight="1">
      <c r="A24" s="11">
        <v>19</v>
      </c>
      <c r="B24" s="12">
        <v>46298.208333333336</v>
      </c>
      <c r="C24" s="11" t="s">
        <v>51</v>
      </c>
      <c r="D24" s="5" t="s">
        <v>288</v>
      </c>
      <c r="E24" s="13" t="s">
        <v>18</v>
      </c>
      <c r="F24" s="13" t="s">
        <v>17</v>
      </c>
      <c r="G24" s="5" t="s">
        <v>289</v>
      </c>
      <c r="H24" s="5" t="s">
        <v>126</v>
      </c>
      <c r="I24" s="5" t="s">
        <v>127</v>
      </c>
      <c r="J24" s="14" t="s">
        <v>253</v>
      </c>
      <c r="K24" s="6" t="s">
        <v>254</v>
      </c>
      <c r="L24" s="6" t="s">
        <v>91</v>
      </c>
      <c r="M24" s="15">
        <f t="shared" si="0"/>
        <v>1</v>
      </c>
      <c r="N24" s="5"/>
    </row>
    <row r="25" spans="1:14" ht="42" customHeight="1">
      <c r="A25" s="11">
        <v>20</v>
      </c>
      <c r="B25" s="12">
        <v>46298.208333333336</v>
      </c>
      <c r="C25" s="11" t="s">
        <v>51</v>
      </c>
      <c r="D25" s="5" t="s">
        <v>128</v>
      </c>
      <c r="E25" s="13" t="s">
        <v>18</v>
      </c>
      <c r="F25" s="13" t="s">
        <v>23</v>
      </c>
      <c r="G25" s="5" t="s">
        <v>290</v>
      </c>
      <c r="H25" s="5" t="s">
        <v>126</v>
      </c>
      <c r="I25" s="5" t="s">
        <v>129</v>
      </c>
      <c r="J25" s="14" t="s">
        <v>253</v>
      </c>
      <c r="K25" s="6" t="s">
        <v>254</v>
      </c>
      <c r="L25" s="6" t="s">
        <v>91</v>
      </c>
      <c r="M25" s="15">
        <f t="shared" si="0"/>
        <v>1</v>
      </c>
      <c r="N25" s="5"/>
    </row>
    <row r="26" spans="1:14" ht="42" customHeight="1">
      <c r="A26" s="11">
        <v>21</v>
      </c>
      <c r="B26" s="12">
        <v>46298.208333333336</v>
      </c>
      <c r="C26" s="11" t="s">
        <v>51</v>
      </c>
      <c r="D26" s="5" t="s">
        <v>130</v>
      </c>
      <c r="E26" s="13" t="s">
        <v>18</v>
      </c>
      <c r="F26" s="13" t="s">
        <v>13</v>
      </c>
      <c r="G26" s="5" t="s">
        <v>291</v>
      </c>
      <c r="H26" s="5" t="s">
        <v>126</v>
      </c>
      <c r="I26" s="5" t="s">
        <v>131</v>
      </c>
      <c r="J26" s="14" t="s">
        <v>253</v>
      </c>
      <c r="K26" s="6" t="s">
        <v>254</v>
      </c>
      <c r="L26" s="6" t="s">
        <v>91</v>
      </c>
      <c r="M26" s="15">
        <f t="shared" si="0"/>
        <v>1</v>
      </c>
      <c r="N26" s="5"/>
    </row>
    <row r="27" spans="1:14" ht="42" customHeight="1">
      <c r="A27" s="11">
        <v>22</v>
      </c>
      <c r="B27" s="12">
        <v>46298.208333333336</v>
      </c>
      <c r="C27" s="11" t="s">
        <v>51</v>
      </c>
      <c r="D27" s="5" t="s">
        <v>292</v>
      </c>
      <c r="E27" s="13" t="s">
        <v>13</v>
      </c>
      <c r="F27" s="13" t="s">
        <v>18</v>
      </c>
      <c r="G27" s="5" t="s">
        <v>132</v>
      </c>
      <c r="H27" s="5" t="s">
        <v>133</v>
      </c>
      <c r="I27" s="5" t="s">
        <v>134</v>
      </c>
      <c r="J27" s="14" t="s">
        <v>253</v>
      </c>
      <c r="K27" s="6" t="s">
        <v>254</v>
      </c>
      <c r="L27" s="6" t="s">
        <v>103</v>
      </c>
      <c r="M27" s="15">
        <f t="shared" si="0"/>
        <v>1</v>
      </c>
      <c r="N27" s="5" t="s">
        <v>391</v>
      </c>
    </row>
    <row r="28" spans="1:14" ht="42" customHeight="1">
      <c r="A28" s="11">
        <v>23</v>
      </c>
      <c r="B28" s="12">
        <v>46298.208333333336</v>
      </c>
      <c r="C28" s="11" t="s">
        <v>51</v>
      </c>
      <c r="D28" s="5" t="s">
        <v>293</v>
      </c>
      <c r="E28" s="13" t="s">
        <v>17</v>
      </c>
      <c r="F28" s="13" t="s">
        <v>18</v>
      </c>
      <c r="G28" s="5" t="s">
        <v>294</v>
      </c>
      <c r="H28" s="5" t="s">
        <v>295</v>
      </c>
      <c r="I28" s="5" t="s">
        <v>296</v>
      </c>
      <c r="J28" s="14" t="s">
        <v>253</v>
      </c>
      <c r="K28" s="6" t="s">
        <v>254</v>
      </c>
      <c r="L28" s="6" t="s">
        <v>103</v>
      </c>
      <c r="M28" s="15">
        <f t="shared" si="0"/>
        <v>1</v>
      </c>
      <c r="N28" s="5"/>
    </row>
    <row r="29" spans="1:14" ht="42" customHeight="1">
      <c r="A29" s="11">
        <v>24</v>
      </c>
      <c r="B29" s="12">
        <v>46298.208333333336</v>
      </c>
      <c r="C29" s="11" t="s">
        <v>51</v>
      </c>
      <c r="D29" s="5" t="s">
        <v>297</v>
      </c>
      <c r="E29" s="13" t="s">
        <v>18</v>
      </c>
      <c r="F29" s="13" t="s">
        <v>13</v>
      </c>
      <c r="G29" s="5" t="s">
        <v>298</v>
      </c>
      <c r="H29" s="5" t="s">
        <v>280</v>
      </c>
      <c r="I29" s="5" t="s">
        <v>299</v>
      </c>
      <c r="J29" s="14" t="s">
        <v>253</v>
      </c>
      <c r="K29" s="6" t="s">
        <v>254</v>
      </c>
      <c r="L29" s="6" t="s">
        <v>103</v>
      </c>
      <c r="M29" s="15">
        <f t="shared" si="0"/>
        <v>1</v>
      </c>
      <c r="N29" s="5"/>
    </row>
    <row r="30" spans="1:14" ht="42" customHeight="1">
      <c r="A30" s="11">
        <v>25</v>
      </c>
      <c r="B30" s="12">
        <v>46299.208333333336</v>
      </c>
      <c r="C30" s="11" t="s">
        <v>55</v>
      </c>
      <c r="D30" s="5" t="s">
        <v>135</v>
      </c>
      <c r="E30" s="13" t="s">
        <v>18</v>
      </c>
      <c r="F30" s="13" t="s">
        <v>13</v>
      </c>
      <c r="G30" s="5" t="s">
        <v>136</v>
      </c>
      <c r="H30" s="5" t="s">
        <v>137</v>
      </c>
      <c r="I30" s="5" t="s">
        <v>138</v>
      </c>
      <c r="J30" s="14" t="s">
        <v>253</v>
      </c>
      <c r="K30" s="6" t="s">
        <v>254</v>
      </c>
      <c r="L30" s="6" t="s">
        <v>91</v>
      </c>
      <c r="M30" s="15">
        <f t="shared" si="0"/>
        <v>1</v>
      </c>
      <c r="N30" s="5"/>
    </row>
    <row r="31" spans="1:14" ht="42" customHeight="1">
      <c r="A31" s="11">
        <v>26</v>
      </c>
      <c r="B31" s="12">
        <v>46299.208333333336</v>
      </c>
      <c r="C31" s="11" t="s">
        <v>55</v>
      </c>
      <c r="D31" s="5" t="s">
        <v>300</v>
      </c>
      <c r="E31" s="13" t="s">
        <v>23</v>
      </c>
      <c r="F31" s="13" t="s">
        <v>18</v>
      </c>
      <c r="G31" s="5" t="s">
        <v>139</v>
      </c>
      <c r="H31" s="5" t="s">
        <v>140</v>
      </c>
      <c r="I31" s="5" t="s">
        <v>301</v>
      </c>
      <c r="J31" s="14" t="s">
        <v>253</v>
      </c>
      <c r="K31" s="6" t="s">
        <v>254</v>
      </c>
      <c r="L31" s="6" t="s">
        <v>91</v>
      </c>
      <c r="M31" s="15">
        <f t="shared" si="0"/>
        <v>1</v>
      </c>
      <c r="N31" s="5"/>
    </row>
    <row r="32" spans="1:14" ht="42" customHeight="1">
      <c r="A32" s="11">
        <v>27</v>
      </c>
      <c r="B32" s="12">
        <v>46299.208333333336</v>
      </c>
      <c r="C32" s="11" t="s">
        <v>55</v>
      </c>
      <c r="D32" s="5" t="s">
        <v>302</v>
      </c>
      <c r="E32" s="13" t="s">
        <v>23</v>
      </c>
      <c r="F32" s="13" t="s">
        <v>17</v>
      </c>
      <c r="G32" s="5" t="s">
        <v>141</v>
      </c>
      <c r="H32" s="5" t="s">
        <v>303</v>
      </c>
      <c r="I32" s="5" t="s">
        <v>142</v>
      </c>
      <c r="J32" s="14" t="s">
        <v>253</v>
      </c>
      <c r="K32" s="6" t="s">
        <v>254</v>
      </c>
      <c r="L32" s="6" t="s">
        <v>91</v>
      </c>
      <c r="M32" s="15">
        <f t="shared" si="0"/>
        <v>1</v>
      </c>
      <c r="N32" s="5"/>
    </row>
    <row r="33" spans="1:14" ht="42" customHeight="1">
      <c r="A33" s="11">
        <v>28</v>
      </c>
      <c r="B33" s="12">
        <v>46299.208333333336</v>
      </c>
      <c r="C33" s="11" t="s">
        <v>55</v>
      </c>
      <c r="D33" s="5" t="s">
        <v>304</v>
      </c>
      <c r="E33" s="13" t="s">
        <v>17</v>
      </c>
      <c r="F33" s="13" t="s">
        <v>13</v>
      </c>
      <c r="G33" s="5" t="s">
        <v>143</v>
      </c>
      <c r="H33" s="5" t="s">
        <v>144</v>
      </c>
      <c r="I33" s="5" t="s">
        <v>145</v>
      </c>
      <c r="J33" s="14" t="s">
        <v>253</v>
      </c>
      <c r="K33" s="6" t="s">
        <v>254</v>
      </c>
      <c r="L33" s="6" t="s">
        <v>91</v>
      </c>
      <c r="M33" s="15">
        <f t="shared" si="0"/>
        <v>1</v>
      </c>
      <c r="N33" s="5"/>
    </row>
    <row r="34" spans="1:14" ht="42" customHeight="1">
      <c r="A34" s="11">
        <v>29</v>
      </c>
      <c r="B34" s="12">
        <v>46299.208333333336</v>
      </c>
      <c r="C34" s="11" t="s">
        <v>55</v>
      </c>
      <c r="D34" s="5" t="s">
        <v>305</v>
      </c>
      <c r="E34" s="13" t="s">
        <v>18</v>
      </c>
      <c r="F34" s="13" t="s">
        <v>146</v>
      </c>
      <c r="G34" s="5" t="s">
        <v>306</v>
      </c>
      <c r="H34" s="5" t="s">
        <v>307</v>
      </c>
      <c r="I34" s="5" t="s">
        <v>148</v>
      </c>
      <c r="J34" s="14" t="s">
        <v>253</v>
      </c>
      <c r="K34" s="6" t="s">
        <v>254</v>
      </c>
      <c r="L34" s="6" t="s">
        <v>91</v>
      </c>
      <c r="M34" s="15">
        <f t="shared" si="0"/>
        <v>1</v>
      </c>
      <c r="N34" s="5"/>
    </row>
    <row r="35" spans="1:14" ht="42" customHeight="1">
      <c r="A35" s="11">
        <v>30</v>
      </c>
      <c r="B35" s="12">
        <v>46299.208333333336</v>
      </c>
      <c r="C35" s="11" t="s">
        <v>55</v>
      </c>
      <c r="D35" s="5" t="s">
        <v>149</v>
      </c>
      <c r="E35" s="13" t="s">
        <v>13</v>
      </c>
      <c r="F35" s="13" t="s">
        <v>23</v>
      </c>
      <c r="G35" s="5" t="s">
        <v>150</v>
      </c>
      <c r="H35" s="5" t="s">
        <v>151</v>
      </c>
      <c r="I35" s="5" t="s">
        <v>152</v>
      </c>
      <c r="J35" s="14" t="s">
        <v>253</v>
      </c>
      <c r="K35" s="6" t="s">
        <v>254</v>
      </c>
      <c r="L35" s="6" t="s">
        <v>91</v>
      </c>
      <c r="M35" s="15">
        <f t="shared" si="0"/>
        <v>1</v>
      </c>
      <c r="N35" s="5"/>
    </row>
    <row r="36" spans="1:14" ht="42" customHeight="1">
      <c r="A36" s="11">
        <v>31</v>
      </c>
      <c r="B36" s="12">
        <v>46299.208333333336</v>
      </c>
      <c r="C36" s="11" t="s">
        <v>55</v>
      </c>
      <c r="D36" s="5" t="s">
        <v>308</v>
      </c>
      <c r="E36" s="13" t="s">
        <v>21</v>
      </c>
      <c r="F36" s="13" t="s">
        <v>13</v>
      </c>
      <c r="G36" s="5" t="s">
        <v>153</v>
      </c>
      <c r="H36" s="5" t="s">
        <v>309</v>
      </c>
      <c r="I36" s="5" t="s">
        <v>154</v>
      </c>
      <c r="J36" s="14" t="s">
        <v>253</v>
      </c>
      <c r="K36" s="6" t="s">
        <v>254</v>
      </c>
      <c r="L36" s="6" t="s">
        <v>91</v>
      </c>
      <c r="M36" s="15">
        <f t="shared" si="0"/>
        <v>1</v>
      </c>
      <c r="N36" s="5" t="s">
        <v>392</v>
      </c>
    </row>
    <row r="37" spans="1:14" ht="42" customHeight="1">
      <c r="A37" s="11">
        <v>32</v>
      </c>
      <c r="B37" s="12">
        <v>46300.208333333336</v>
      </c>
      <c r="C37" s="11" t="s">
        <v>58</v>
      </c>
      <c r="D37" s="5" t="s">
        <v>155</v>
      </c>
      <c r="E37" s="13" t="s">
        <v>13</v>
      </c>
      <c r="F37" s="13" t="s">
        <v>56</v>
      </c>
      <c r="G37" s="5" t="s">
        <v>310</v>
      </c>
      <c r="H37" s="5" t="s">
        <v>311</v>
      </c>
      <c r="I37" s="5" t="s">
        <v>156</v>
      </c>
      <c r="J37" s="14" t="s">
        <v>253</v>
      </c>
      <c r="K37" s="6" t="s">
        <v>254</v>
      </c>
      <c r="L37" s="6" t="s">
        <v>103</v>
      </c>
      <c r="M37" s="15">
        <f t="shared" si="0"/>
        <v>1</v>
      </c>
      <c r="N37" s="5"/>
    </row>
    <row r="38" spans="1:14" ht="42" customHeight="1">
      <c r="A38" s="11">
        <v>33</v>
      </c>
      <c r="B38" s="12">
        <v>46300.208333333336</v>
      </c>
      <c r="C38" s="11" t="s">
        <v>58</v>
      </c>
      <c r="D38" s="5" t="s">
        <v>157</v>
      </c>
      <c r="E38" s="13" t="s">
        <v>18</v>
      </c>
      <c r="F38" s="13" t="s">
        <v>17</v>
      </c>
      <c r="G38" s="5" t="s">
        <v>158</v>
      </c>
      <c r="H38" s="5" t="s">
        <v>159</v>
      </c>
      <c r="I38" s="5" t="s">
        <v>160</v>
      </c>
      <c r="J38" s="14" t="s">
        <v>253</v>
      </c>
      <c r="K38" s="6" t="s">
        <v>254</v>
      </c>
      <c r="L38" s="6" t="s">
        <v>103</v>
      </c>
      <c r="M38" s="15">
        <f t="shared" ref="M38:M69" si="1">IF(K38="Hoàn thành",1,IF(K38="Chờ kiểm tra",0.8,IF(K38="Đang thực hiện",0.5,IF(K38="Bị vướng",0.25,0))))</f>
        <v>1</v>
      </c>
      <c r="N38" s="5"/>
    </row>
    <row r="39" spans="1:14" ht="42" customHeight="1">
      <c r="A39" s="11">
        <v>34</v>
      </c>
      <c r="B39" s="12">
        <v>46300.208333333336</v>
      </c>
      <c r="C39" s="11" t="s">
        <v>58</v>
      </c>
      <c r="D39" s="5" t="s">
        <v>161</v>
      </c>
      <c r="E39" s="13" t="s">
        <v>23</v>
      </c>
      <c r="F39" s="13" t="s">
        <v>17</v>
      </c>
      <c r="G39" s="5" t="s">
        <v>312</v>
      </c>
      <c r="H39" s="5" t="s">
        <v>162</v>
      </c>
      <c r="I39" s="5" t="s">
        <v>163</v>
      </c>
      <c r="J39" s="14" t="s">
        <v>253</v>
      </c>
      <c r="K39" s="6" t="s">
        <v>254</v>
      </c>
      <c r="L39" s="6" t="s">
        <v>103</v>
      </c>
      <c r="M39" s="15">
        <f t="shared" si="1"/>
        <v>1</v>
      </c>
      <c r="N39" s="5"/>
    </row>
    <row r="40" spans="1:14" ht="42" customHeight="1">
      <c r="A40" s="11">
        <v>35</v>
      </c>
      <c r="B40" s="12">
        <v>46300.208333333336</v>
      </c>
      <c r="C40" s="11" t="s">
        <v>58</v>
      </c>
      <c r="D40" s="5" t="s">
        <v>164</v>
      </c>
      <c r="E40" s="13" t="s">
        <v>17</v>
      </c>
      <c r="F40" s="13" t="s">
        <v>13</v>
      </c>
      <c r="G40" s="5" t="s">
        <v>165</v>
      </c>
      <c r="H40" s="5" t="s">
        <v>166</v>
      </c>
      <c r="I40" s="5" t="s">
        <v>167</v>
      </c>
      <c r="J40" s="14" t="s">
        <v>253</v>
      </c>
      <c r="K40" s="6" t="s">
        <v>254</v>
      </c>
      <c r="L40" s="6" t="s">
        <v>103</v>
      </c>
      <c r="M40" s="15">
        <f t="shared" si="1"/>
        <v>1</v>
      </c>
      <c r="N40" s="5"/>
    </row>
    <row r="41" spans="1:14" ht="42" customHeight="1">
      <c r="A41" s="11">
        <v>36</v>
      </c>
      <c r="B41" s="12">
        <v>46300.208333333336</v>
      </c>
      <c r="C41" s="11" t="s">
        <v>58</v>
      </c>
      <c r="D41" s="5" t="s">
        <v>313</v>
      </c>
      <c r="E41" s="13" t="s">
        <v>13</v>
      </c>
      <c r="F41" s="13" t="s">
        <v>21</v>
      </c>
      <c r="G41" s="5" t="s">
        <v>314</v>
      </c>
      <c r="H41" s="5" t="s">
        <v>315</v>
      </c>
      <c r="I41" s="5" t="s">
        <v>316</v>
      </c>
      <c r="J41" s="14" t="s">
        <v>253</v>
      </c>
      <c r="K41" s="6" t="s">
        <v>254</v>
      </c>
      <c r="L41" s="6" t="s">
        <v>91</v>
      </c>
      <c r="M41" s="15">
        <f t="shared" si="1"/>
        <v>1</v>
      </c>
      <c r="N41" s="5"/>
    </row>
    <row r="42" spans="1:14" ht="42" customHeight="1">
      <c r="A42" s="11">
        <v>37</v>
      </c>
      <c r="B42" s="12">
        <v>46300.208333333336</v>
      </c>
      <c r="C42" s="11" t="s">
        <v>58</v>
      </c>
      <c r="D42" s="5" t="s">
        <v>168</v>
      </c>
      <c r="E42" s="13" t="s">
        <v>13</v>
      </c>
      <c r="F42" s="13" t="s">
        <v>21</v>
      </c>
      <c r="G42" s="5" t="s">
        <v>169</v>
      </c>
      <c r="H42" s="5" t="s">
        <v>170</v>
      </c>
      <c r="I42" s="5" t="s">
        <v>317</v>
      </c>
      <c r="J42" s="14" t="s">
        <v>89</v>
      </c>
      <c r="K42" s="6" t="s">
        <v>318</v>
      </c>
      <c r="L42" s="6" t="s">
        <v>103</v>
      </c>
      <c r="M42" s="15">
        <f t="shared" si="1"/>
        <v>0.5</v>
      </c>
      <c r="N42" s="5" t="s">
        <v>393</v>
      </c>
    </row>
    <row r="43" spans="1:14" ht="42" customHeight="1">
      <c r="A43" s="11">
        <v>38</v>
      </c>
      <c r="B43" s="12">
        <v>46301.208333333336</v>
      </c>
      <c r="C43" s="11" t="s">
        <v>60</v>
      </c>
      <c r="D43" s="5" t="s">
        <v>171</v>
      </c>
      <c r="E43" s="13" t="s">
        <v>18</v>
      </c>
      <c r="F43" s="13" t="s">
        <v>13</v>
      </c>
      <c r="G43" s="5" t="s">
        <v>172</v>
      </c>
      <c r="H43" s="5" t="s">
        <v>319</v>
      </c>
      <c r="I43" s="5" t="s">
        <v>173</v>
      </c>
      <c r="J43" s="14" t="s">
        <v>89</v>
      </c>
      <c r="K43" s="6" t="s">
        <v>318</v>
      </c>
      <c r="L43" s="6" t="s">
        <v>91</v>
      </c>
      <c r="M43" s="15">
        <f t="shared" si="1"/>
        <v>0.5</v>
      </c>
      <c r="N43" s="5" t="s">
        <v>394</v>
      </c>
    </row>
    <row r="44" spans="1:14" ht="42" customHeight="1">
      <c r="A44" s="11">
        <v>39</v>
      </c>
      <c r="B44" s="12">
        <v>46301.208333333336</v>
      </c>
      <c r="C44" s="11" t="s">
        <v>60</v>
      </c>
      <c r="D44" s="5" t="s">
        <v>174</v>
      </c>
      <c r="E44" s="13" t="s">
        <v>23</v>
      </c>
      <c r="F44" s="13" t="s">
        <v>13</v>
      </c>
      <c r="G44" s="5" t="s">
        <v>175</v>
      </c>
      <c r="H44" s="5" t="s">
        <v>320</v>
      </c>
      <c r="I44" s="5" t="s">
        <v>176</v>
      </c>
      <c r="J44" s="14" t="s">
        <v>89</v>
      </c>
      <c r="K44" s="6" t="s">
        <v>90</v>
      </c>
      <c r="L44" s="6" t="s">
        <v>91</v>
      </c>
      <c r="M44" s="15">
        <f t="shared" si="1"/>
        <v>0</v>
      </c>
      <c r="N44" s="5" t="s">
        <v>395</v>
      </c>
    </row>
    <row r="45" spans="1:14" ht="42" customHeight="1">
      <c r="A45" s="11">
        <v>40</v>
      </c>
      <c r="B45" s="12">
        <v>46301.208333333336</v>
      </c>
      <c r="C45" s="11" t="s">
        <v>60</v>
      </c>
      <c r="D45" s="5" t="s">
        <v>321</v>
      </c>
      <c r="E45" s="13" t="s">
        <v>17</v>
      </c>
      <c r="F45" s="13" t="s">
        <v>13</v>
      </c>
      <c r="G45" s="5" t="s">
        <v>322</v>
      </c>
      <c r="H45" s="5" t="s">
        <v>323</v>
      </c>
      <c r="I45" s="5" t="s">
        <v>324</v>
      </c>
      <c r="J45" s="14" t="s">
        <v>253</v>
      </c>
      <c r="K45" s="6" t="s">
        <v>254</v>
      </c>
      <c r="L45" s="6" t="s">
        <v>91</v>
      </c>
      <c r="M45" s="15">
        <f t="shared" si="1"/>
        <v>1</v>
      </c>
      <c r="N45" s="5" t="s">
        <v>396</v>
      </c>
    </row>
    <row r="46" spans="1:14" ht="42" customHeight="1">
      <c r="A46" s="11">
        <v>41</v>
      </c>
      <c r="B46" s="12">
        <v>46301.208333333336</v>
      </c>
      <c r="C46" s="11" t="s">
        <v>60</v>
      </c>
      <c r="D46" s="5" t="s">
        <v>179</v>
      </c>
      <c r="E46" s="13" t="s">
        <v>13</v>
      </c>
      <c r="F46" s="13" t="s">
        <v>21</v>
      </c>
      <c r="G46" s="5" t="s">
        <v>180</v>
      </c>
      <c r="H46" s="5" t="s">
        <v>181</v>
      </c>
      <c r="I46" s="5" t="s">
        <v>182</v>
      </c>
      <c r="J46" s="14" t="s">
        <v>89</v>
      </c>
      <c r="K46" s="6" t="s">
        <v>318</v>
      </c>
      <c r="L46" s="6" t="s">
        <v>91</v>
      </c>
      <c r="M46" s="15">
        <f t="shared" si="1"/>
        <v>0.5</v>
      </c>
      <c r="N46" s="5" t="s">
        <v>397</v>
      </c>
    </row>
    <row r="47" spans="1:14" ht="42" customHeight="1">
      <c r="A47" s="11">
        <v>42</v>
      </c>
      <c r="B47" s="12">
        <v>46301.208333333336</v>
      </c>
      <c r="C47" s="11" t="s">
        <v>60</v>
      </c>
      <c r="D47" s="5" t="s">
        <v>325</v>
      </c>
      <c r="E47" s="13" t="s">
        <v>17</v>
      </c>
      <c r="F47" s="13" t="s">
        <v>177</v>
      </c>
      <c r="G47" s="5" t="s">
        <v>326</v>
      </c>
      <c r="H47" s="5" t="s">
        <v>327</v>
      </c>
      <c r="I47" s="5" t="s">
        <v>178</v>
      </c>
      <c r="J47" s="14" t="s">
        <v>89</v>
      </c>
      <c r="K47" s="6" t="s">
        <v>318</v>
      </c>
      <c r="L47" s="6" t="s">
        <v>103</v>
      </c>
      <c r="M47" s="15">
        <f t="shared" si="1"/>
        <v>0.5</v>
      </c>
      <c r="N47" s="5" t="s">
        <v>398</v>
      </c>
    </row>
    <row r="48" spans="1:14" ht="42" customHeight="1">
      <c r="A48" s="11">
        <v>43</v>
      </c>
      <c r="B48" s="12">
        <v>46302.208333333336</v>
      </c>
      <c r="C48" s="11" t="s">
        <v>62</v>
      </c>
      <c r="D48" s="5" t="s">
        <v>328</v>
      </c>
      <c r="E48" s="13" t="s">
        <v>18</v>
      </c>
      <c r="F48" s="13" t="s">
        <v>13</v>
      </c>
      <c r="G48" s="5" t="s">
        <v>329</v>
      </c>
      <c r="H48" s="5" t="s">
        <v>330</v>
      </c>
      <c r="I48" s="5" t="s">
        <v>331</v>
      </c>
      <c r="J48" s="14" t="s">
        <v>89</v>
      </c>
      <c r="K48" s="6" t="s">
        <v>90</v>
      </c>
      <c r="L48" s="6" t="s">
        <v>91</v>
      </c>
      <c r="M48" s="15">
        <f t="shared" si="1"/>
        <v>0</v>
      </c>
      <c r="N48" s="5" t="s">
        <v>399</v>
      </c>
    </row>
    <row r="49" spans="1:14" ht="42" customHeight="1">
      <c r="A49" s="11">
        <v>44</v>
      </c>
      <c r="B49" s="12">
        <v>46302.208333333336</v>
      </c>
      <c r="C49" s="11" t="s">
        <v>62</v>
      </c>
      <c r="D49" s="5" t="s">
        <v>332</v>
      </c>
      <c r="E49" s="13" t="s">
        <v>23</v>
      </c>
      <c r="F49" s="13" t="s">
        <v>13</v>
      </c>
      <c r="G49" s="5" t="s">
        <v>333</v>
      </c>
      <c r="H49" s="5" t="s">
        <v>334</v>
      </c>
      <c r="I49" s="5" t="s">
        <v>331</v>
      </c>
      <c r="J49" s="14" t="s">
        <v>89</v>
      </c>
      <c r="K49" s="6" t="s">
        <v>90</v>
      </c>
      <c r="L49" s="6" t="s">
        <v>91</v>
      </c>
      <c r="M49" s="15">
        <f t="shared" si="1"/>
        <v>0</v>
      </c>
      <c r="N49" s="5" t="s">
        <v>399</v>
      </c>
    </row>
    <row r="50" spans="1:14" ht="42" customHeight="1">
      <c r="A50" s="11">
        <v>45</v>
      </c>
      <c r="B50" s="12">
        <v>46302.208333333336</v>
      </c>
      <c r="C50" s="11" t="s">
        <v>62</v>
      </c>
      <c r="D50" s="5" t="s">
        <v>335</v>
      </c>
      <c r="E50" s="13" t="s">
        <v>17</v>
      </c>
      <c r="F50" s="13" t="s">
        <v>13</v>
      </c>
      <c r="G50" s="5" t="s">
        <v>336</v>
      </c>
      <c r="H50" s="5" t="s">
        <v>337</v>
      </c>
      <c r="I50" s="5" t="s">
        <v>331</v>
      </c>
      <c r="J50" s="14" t="s">
        <v>89</v>
      </c>
      <c r="K50" s="6" t="s">
        <v>90</v>
      </c>
      <c r="L50" s="6" t="s">
        <v>91</v>
      </c>
      <c r="M50" s="15">
        <f t="shared" si="1"/>
        <v>0</v>
      </c>
      <c r="N50" s="5" t="s">
        <v>399</v>
      </c>
    </row>
    <row r="51" spans="1:14" ht="42" customHeight="1">
      <c r="A51" s="11">
        <v>46</v>
      </c>
      <c r="B51" s="12">
        <v>46302.208333333336</v>
      </c>
      <c r="C51" s="11" t="s">
        <v>62</v>
      </c>
      <c r="D51" s="5" t="s">
        <v>338</v>
      </c>
      <c r="E51" s="13" t="s">
        <v>17</v>
      </c>
      <c r="F51" s="13" t="s">
        <v>13</v>
      </c>
      <c r="G51" s="5" t="s">
        <v>339</v>
      </c>
      <c r="H51" s="5" t="s">
        <v>340</v>
      </c>
      <c r="I51" s="5" t="s">
        <v>341</v>
      </c>
      <c r="J51" s="14" t="s">
        <v>89</v>
      </c>
      <c r="K51" s="6" t="s">
        <v>90</v>
      </c>
      <c r="L51" s="6" t="s">
        <v>91</v>
      </c>
      <c r="M51" s="15">
        <f t="shared" si="1"/>
        <v>0</v>
      </c>
      <c r="N51" s="5" t="s">
        <v>399</v>
      </c>
    </row>
    <row r="52" spans="1:14" ht="42" customHeight="1">
      <c r="A52" s="11">
        <v>47</v>
      </c>
      <c r="B52" s="12">
        <v>46302.208333333336</v>
      </c>
      <c r="C52" s="11" t="s">
        <v>62</v>
      </c>
      <c r="D52" s="5" t="s">
        <v>183</v>
      </c>
      <c r="E52" s="13" t="s">
        <v>13</v>
      </c>
      <c r="F52" s="13" t="s">
        <v>21</v>
      </c>
      <c r="G52" s="5" t="s">
        <v>184</v>
      </c>
      <c r="H52" s="5" t="s">
        <v>185</v>
      </c>
      <c r="I52" s="5" t="s">
        <v>186</v>
      </c>
      <c r="J52" s="14" t="s">
        <v>89</v>
      </c>
      <c r="K52" s="6" t="s">
        <v>90</v>
      </c>
      <c r="L52" s="6" t="s">
        <v>91</v>
      </c>
      <c r="M52" s="15">
        <f t="shared" si="1"/>
        <v>0</v>
      </c>
      <c r="N52" s="5"/>
    </row>
    <row r="53" spans="1:14" ht="42" customHeight="1">
      <c r="A53" s="11">
        <v>48</v>
      </c>
      <c r="B53" s="12">
        <v>46302.208333333336</v>
      </c>
      <c r="C53" s="11" t="s">
        <v>62</v>
      </c>
      <c r="D53" s="5" t="s">
        <v>342</v>
      </c>
      <c r="E53" s="13" t="s">
        <v>18</v>
      </c>
      <c r="F53" s="13" t="s">
        <v>13</v>
      </c>
      <c r="G53" s="5" t="s">
        <v>187</v>
      </c>
      <c r="H53" s="5" t="s">
        <v>343</v>
      </c>
      <c r="I53" s="5" t="s">
        <v>188</v>
      </c>
      <c r="J53" s="14" t="s">
        <v>89</v>
      </c>
      <c r="K53" s="6" t="s">
        <v>90</v>
      </c>
      <c r="L53" s="6" t="s">
        <v>103</v>
      </c>
      <c r="M53" s="15">
        <f t="shared" si="1"/>
        <v>0</v>
      </c>
      <c r="N53" s="5"/>
    </row>
    <row r="54" spans="1:14" ht="42" customHeight="1">
      <c r="A54" s="11">
        <v>49</v>
      </c>
      <c r="B54" s="12">
        <v>46302.208333333336</v>
      </c>
      <c r="C54" s="11" t="s">
        <v>62</v>
      </c>
      <c r="D54" s="5" t="s">
        <v>189</v>
      </c>
      <c r="E54" s="13" t="s">
        <v>23</v>
      </c>
      <c r="F54" s="13" t="s">
        <v>13</v>
      </c>
      <c r="G54" s="5" t="s">
        <v>190</v>
      </c>
      <c r="H54" s="5" t="s">
        <v>344</v>
      </c>
      <c r="I54" s="5" t="s">
        <v>191</v>
      </c>
      <c r="J54" s="14" t="s">
        <v>89</v>
      </c>
      <c r="K54" s="6" t="s">
        <v>90</v>
      </c>
      <c r="L54" s="6" t="s">
        <v>103</v>
      </c>
      <c r="M54" s="15">
        <f t="shared" si="1"/>
        <v>0</v>
      </c>
      <c r="N54" s="5"/>
    </row>
    <row r="55" spans="1:14" ht="42" customHeight="1">
      <c r="A55" s="11">
        <v>50</v>
      </c>
      <c r="B55" s="12">
        <v>46302.208333333336</v>
      </c>
      <c r="C55" s="11" t="s">
        <v>62</v>
      </c>
      <c r="D55" s="5" t="s">
        <v>192</v>
      </c>
      <c r="E55" s="13" t="s">
        <v>17</v>
      </c>
      <c r="F55" s="13" t="s">
        <v>177</v>
      </c>
      <c r="G55" s="5" t="s">
        <v>193</v>
      </c>
      <c r="H55" s="5" t="s">
        <v>194</v>
      </c>
      <c r="I55" s="5" t="s">
        <v>195</v>
      </c>
      <c r="J55" s="14" t="s">
        <v>89</v>
      </c>
      <c r="K55" s="6" t="s">
        <v>318</v>
      </c>
      <c r="L55" s="6" t="s">
        <v>103</v>
      </c>
      <c r="M55" s="15">
        <f t="shared" si="1"/>
        <v>0.5</v>
      </c>
      <c r="N55" s="5" t="s">
        <v>398</v>
      </c>
    </row>
    <row r="56" spans="1:14" ht="42" customHeight="1">
      <c r="A56" s="11">
        <v>51</v>
      </c>
      <c r="B56" s="12">
        <v>46302.208333333336</v>
      </c>
      <c r="C56" s="11" t="s">
        <v>62</v>
      </c>
      <c r="D56" s="5" t="s">
        <v>345</v>
      </c>
      <c r="E56" s="13" t="s">
        <v>17</v>
      </c>
      <c r="F56" s="13" t="s">
        <v>13</v>
      </c>
      <c r="G56" s="5" t="s">
        <v>346</v>
      </c>
      <c r="H56" s="5" t="s">
        <v>347</v>
      </c>
      <c r="I56" s="5" t="s">
        <v>348</v>
      </c>
      <c r="J56" s="14" t="s">
        <v>89</v>
      </c>
      <c r="K56" s="6" t="s">
        <v>318</v>
      </c>
      <c r="L56" s="6" t="s">
        <v>91</v>
      </c>
      <c r="M56" s="15">
        <f t="shared" si="1"/>
        <v>0.5</v>
      </c>
      <c r="N56" s="5" t="s">
        <v>400</v>
      </c>
    </row>
    <row r="57" spans="1:14" ht="42" customHeight="1">
      <c r="A57" s="11">
        <v>52</v>
      </c>
      <c r="B57" s="12">
        <v>46302.208333333336</v>
      </c>
      <c r="C57" s="11" t="s">
        <v>62</v>
      </c>
      <c r="D57" s="5" t="s">
        <v>196</v>
      </c>
      <c r="E57" s="13" t="s">
        <v>13</v>
      </c>
      <c r="F57" s="13" t="s">
        <v>21</v>
      </c>
      <c r="G57" s="5" t="s">
        <v>197</v>
      </c>
      <c r="H57" s="5" t="s">
        <v>147</v>
      </c>
      <c r="I57" s="5" t="s">
        <v>198</v>
      </c>
      <c r="J57" s="14" t="s">
        <v>253</v>
      </c>
      <c r="K57" s="6" t="s">
        <v>254</v>
      </c>
      <c r="L57" s="6" t="s">
        <v>91</v>
      </c>
      <c r="M57" s="15">
        <f t="shared" si="1"/>
        <v>1</v>
      </c>
      <c r="N57" s="5" t="s">
        <v>401</v>
      </c>
    </row>
    <row r="58" spans="1:14" ht="42" customHeight="1">
      <c r="A58" s="11">
        <v>53</v>
      </c>
      <c r="B58" s="12">
        <v>46303.208333333336</v>
      </c>
      <c r="C58" s="11" t="s">
        <v>64</v>
      </c>
      <c r="D58" s="5" t="s">
        <v>199</v>
      </c>
      <c r="E58" s="13" t="s">
        <v>13</v>
      </c>
      <c r="F58" s="13" t="s">
        <v>21</v>
      </c>
      <c r="G58" s="5" t="s">
        <v>200</v>
      </c>
      <c r="H58" s="5" t="s">
        <v>201</v>
      </c>
      <c r="I58" s="5" t="s">
        <v>202</v>
      </c>
      <c r="J58" s="14" t="s">
        <v>89</v>
      </c>
      <c r="K58" s="6" t="s">
        <v>90</v>
      </c>
      <c r="L58" s="6" t="s">
        <v>91</v>
      </c>
      <c r="M58" s="15">
        <f t="shared" si="1"/>
        <v>0</v>
      </c>
      <c r="N58" s="5"/>
    </row>
    <row r="59" spans="1:14" ht="42" customHeight="1">
      <c r="A59" s="11">
        <v>54</v>
      </c>
      <c r="B59" s="12">
        <v>46303.208333333336</v>
      </c>
      <c r="C59" s="11" t="s">
        <v>64</v>
      </c>
      <c r="D59" s="5" t="s">
        <v>203</v>
      </c>
      <c r="E59" s="13" t="s">
        <v>13</v>
      </c>
      <c r="F59" s="13" t="s">
        <v>56</v>
      </c>
      <c r="G59" s="5" t="s">
        <v>204</v>
      </c>
      <c r="H59" s="5" t="s">
        <v>170</v>
      </c>
      <c r="I59" s="5" t="s">
        <v>205</v>
      </c>
      <c r="J59" s="14" t="s">
        <v>89</v>
      </c>
      <c r="K59" s="6" t="s">
        <v>90</v>
      </c>
      <c r="L59" s="6" t="s">
        <v>103</v>
      </c>
      <c r="M59" s="15">
        <f t="shared" si="1"/>
        <v>0</v>
      </c>
      <c r="N59" s="5"/>
    </row>
    <row r="60" spans="1:14" ht="42" customHeight="1">
      <c r="A60" s="11">
        <v>55</v>
      </c>
      <c r="B60" s="12">
        <v>46303.208333333336</v>
      </c>
      <c r="C60" s="11" t="s">
        <v>64</v>
      </c>
      <c r="D60" s="5" t="s">
        <v>349</v>
      </c>
      <c r="E60" s="13" t="s">
        <v>13</v>
      </c>
      <c r="F60" s="13" t="s">
        <v>17</v>
      </c>
      <c r="G60" s="5" t="s">
        <v>350</v>
      </c>
      <c r="H60" s="5" t="s">
        <v>216</v>
      </c>
      <c r="I60" s="5" t="s">
        <v>351</v>
      </c>
      <c r="J60" s="14" t="s">
        <v>89</v>
      </c>
      <c r="K60" s="6" t="s">
        <v>90</v>
      </c>
      <c r="L60" s="6" t="s">
        <v>103</v>
      </c>
      <c r="M60" s="15">
        <f t="shared" si="1"/>
        <v>0</v>
      </c>
      <c r="N60" s="5"/>
    </row>
    <row r="61" spans="1:14" ht="42" customHeight="1">
      <c r="A61" s="11">
        <v>56</v>
      </c>
      <c r="B61" s="12">
        <v>46304.208333333336</v>
      </c>
      <c r="C61" s="11" t="s">
        <v>67</v>
      </c>
      <c r="D61" s="5" t="s">
        <v>206</v>
      </c>
      <c r="E61" s="13" t="s">
        <v>56</v>
      </c>
      <c r="F61" s="13" t="s">
        <v>13</v>
      </c>
      <c r="G61" s="5" t="s">
        <v>207</v>
      </c>
      <c r="H61" s="5" t="s">
        <v>352</v>
      </c>
      <c r="I61" s="5" t="s">
        <v>353</v>
      </c>
      <c r="J61" s="14" t="s">
        <v>89</v>
      </c>
      <c r="K61" s="6" t="s">
        <v>318</v>
      </c>
      <c r="L61" s="6" t="s">
        <v>91</v>
      </c>
      <c r="M61" s="15">
        <f t="shared" si="1"/>
        <v>0.5</v>
      </c>
      <c r="N61" s="5" t="s">
        <v>398</v>
      </c>
    </row>
    <row r="62" spans="1:14" ht="42" customHeight="1">
      <c r="A62" s="11">
        <v>57</v>
      </c>
      <c r="B62" s="12">
        <v>46304.208333333336</v>
      </c>
      <c r="C62" s="11" t="s">
        <v>67</v>
      </c>
      <c r="D62" s="5" t="s">
        <v>208</v>
      </c>
      <c r="E62" s="13" t="s">
        <v>13</v>
      </c>
      <c r="F62" s="13" t="s">
        <v>23</v>
      </c>
      <c r="G62" s="5" t="s">
        <v>209</v>
      </c>
      <c r="H62" s="5" t="s">
        <v>210</v>
      </c>
      <c r="I62" s="5" t="s">
        <v>211</v>
      </c>
      <c r="J62" s="14" t="s">
        <v>89</v>
      </c>
      <c r="K62" s="6" t="s">
        <v>318</v>
      </c>
      <c r="L62" s="6" t="s">
        <v>91</v>
      </c>
      <c r="M62" s="15">
        <f t="shared" si="1"/>
        <v>0.5</v>
      </c>
      <c r="N62" s="5"/>
    </row>
    <row r="63" spans="1:14" ht="42" customHeight="1">
      <c r="A63" s="11">
        <v>58</v>
      </c>
      <c r="B63" s="12">
        <v>46304.208333333336</v>
      </c>
      <c r="C63" s="11" t="s">
        <v>67</v>
      </c>
      <c r="D63" s="5" t="s">
        <v>212</v>
      </c>
      <c r="E63" s="13" t="s">
        <v>13</v>
      </c>
      <c r="F63" s="13" t="s">
        <v>23</v>
      </c>
      <c r="G63" s="5" t="s">
        <v>354</v>
      </c>
      <c r="H63" s="5" t="s">
        <v>213</v>
      </c>
      <c r="I63" s="5" t="s">
        <v>355</v>
      </c>
      <c r="J63" s="14" t="s">
        <v>89</v>
      </c>
      <c r="K63" s="6" t="s">
        <v>318</v>
      </c>
      <c r="L63" s="6" t="s">
        <v>91</v>
      </c>
      <c r="M63" s="15">
        <f t="shared" si="1"/>
        <v>0.5</v>
      </c>
      <c r="N63" s="5"/>
    </row>
    <row r="64" spans="1:14" ht="42" customHeight="1">
      <c r="A64" s="11">
        <v>59</v>
      </c>
      <c r="B64" s="12">
        <v>46304.208333333336</v>
      </c>
      <c r="C64" s="11" t="s">
        <v>67</v>
      </c>
      <c r="D64" s="5" t="s">
        <v>214</v>
      </c>
      <c r="E64" s="13" t="s">
        <v>13</v>
      </c>
      <c r="F64" s="13" t="s">
        <v>18</v>
      </c>
      <c r="G64" s="5" t="s">
        <v>215</v>
      </c>
      <c r="H64" s="5" t="s">
        <v>216</v>
      </c>
      <c r="I64" s="5" t="s">
        <v>217</v>
      </c>
      <c r="J64" s="14" t="s">
        <v>89</v>
      </c>
      <c r="K64" s="6" t="s">
        <v>318</v>
      </c>
      <c r="L64" s="6" t="s">
        <v>91</v>
      </c>
      <c r="M64" s="15">
        <f t="shared" si="1"/>
        <v>0.5</v>
      </c>
      <c r="N64" s="5"/>
    </row>
    <row r="65" spans="1:14" ht="42" customHeight="1">
      <c r="A65" s="11">
        <v>60</v>
      </c>
      <c r="B65" s="12">
        <v>46304.208333333336</v>
      </c>
      <c r="C65" s="11" t="s">
        <v>67</v>
      </c>
      <c r="D65" s="5" t="s">
        <v>218</v>
      </c>
      <c r="E65" s="13" t="s">
        <v>56</v>
      </c>
      <c r="F65" s="13" t="s">
        <v>13</v>
      </c>
      <c r="G65" s="5" t="s">
        <v>219</v>
      </c>
      <c r="H65" s="5" t="s">
        <v>220</v>
      </c>
      <c r="I65" s="5" t="s">
        <v>221</v>
      </c>
      <c r="J65" s="14" t="s">
        <v>89</v>
      </c>
      <c r="K65" s="6" t="s">
        <v>318</v>
      </c>
      <c r="L65" s="6" t="s">
        <v>103</v>
      </c>
      <c r="M65" s="15">
        <f t="shared" si="1"/>
        <v>0.5</v>
      </c>
      <c r="N65" s="5" t="s">
        <v>398</v>
      </c>
    </row>
    <row r="66" spans="1:14" ht="42" customHeight="1">
      <c r="A66" s="11">
        <v>61</v>
      </c>
      <c r="B66" s="12">
        <v>46304.208333333336</v>
      </c>
      <c r="C66" s="11" t="s">
        <v>67</v>
      </c>
      <c r="D66" s="5" t="s">
        <v>356</v>
      </c>
      <c r="E66" s="13" t="s">
        <v>13</v>
      </c>
      <c r="F66" s="13" t="s">
        <v>21</v>
      </c>
      <c r="G66" s="5" t="s">
        <v>357</v>
      </c>
      <c r="H66" s="5" t="s">
        <v>358</v>
      </c>
      <c r="I66" s="5" t="s">
        <v>223</v>
      </c>
      <c r="J66" s="14" t="s">
        <v>89</v>
      </c>
      <c r="K66" s="6" t="s">
        <v>318</v>
      </c>
      <c r="L66" s="6" t="s">
        <v>91</v>
      </c>
      <c r="M66" s="15">
        <f t="shared" si="1"/>
        <v>0.5</v>
      </c>
      <c r="N66" s="5"/>
    </row>
    <row r="67" spans="1:14" ht="42" customHeight="1">
      <c r="A67" s="11">
        <v>62</v>
      </c>
      <c r="B67" s="12">
        <v>46304.208333333336</v>
      </c>
      <c r="C67" s="11" t="s">
        <v>15</v>
      </c>
      <c r="D67" s="5" t="s">
        <v>359</v>
      </c>
      <c r="E67" s="13" t="s">
        <v>13</v>
      </c>
      <c r="F67" s="13" t="s">
        <v>21</v>
      </c>
      <c r="G67" s="5" t="s">
        <v>360</v>
      </c>
      <c r="H67" s="5" t="s">
        <v>361</v>
      </c>
      <c r="I67" s="5" t="s">
        <v>362</v>
      </c>
      <c r="J67" s="14" t="s">
        <v>89</v>
      </c>
      <c r="K67" s="6" t="s">
        <v>363</v>
      </c>
      <c r="L67" s="6" t="s">
        <v>91</v>
      </c>
      <c r="M67" s="15">
        <f t="shared" si="1"/>
        <v>0.8</v>
      </c>
      <c r="N67" s="5" t="s">
        <v>402</v>
      </c>
    </row>
    <row r="68" spans="1:14" ht="42" customHeight="1">
      <c r="A68" s="11">
        <v>63</v>
      </c>
      <c r="B68" s="12">
        <v>46304.208333333336</v>
      </c>
      <c r="C68" s="11" t="s">
        <v>15</v>
      </c>
      <c r="D68" s="5" t="s">
        <v>224</v>
      </c>
      <c r="E68" s="13" t="s">
        <v>13</v>
      </c>
      <c r="F68" s="13" t="s">
        <v>56</v>
      </c>
      <c r="G68" s="5" t="s">
        <v>364</v>
      </c>
      <c r="H68" s="5" t="s">
        <v>365</v>
      </c>
      <c r="I68" s="5" t="s">
        <v>225</v>
      </c>
      <c r="J68" s="14" t="s">
        <v>89</v>
      </c>
      <c r="K68" s="6" t="s">
        <v>90</v>
      </c>
      <c r="L68" s="6" t="s">
        <v>91</v>
      </c>
      <c r="M68" s="15">
        <f t="shared" si="1"/>
        <v>0</v>
      </c>
      <c r="N68" s="5"/>
    </row>
    <row r="69" spans="1:14" ht="42" customHeight="1">
      <c r="A69" s="11">
        <v>64</v>
      </c>
      <c r="B69" s="12">
        <v>46304.208333333336</v>
      </c>
      <c r="C69" s="11" t="s">
        <v>15</v>
      </c>
      <c r="D69" s="5" t="s">
        <v>226</v>
      </c>
      <c r="E69" s="13" t="s">
        <v>21</v>
      </c>
      <c r="F69" s="13" t="s">
        <v>13</v>
      </c>
      <c r="G69" s="5" t="s">
        <v>227</v>
      </c>
      <c r="H69" s="5" t="s">
        <v>366</v>
      </c>
      <c r="I69" s="5" t="s">
        <v>228</v>
      </c>
      <c r="J69" s="14" t="s">
        <v>89</v>
      </c>
      <c r="K69" s="6" t="s">
        <v>318</v>
      </c>
      <c r="L69" s="6" t="s">
        <v>103</v>
      </c>
      <c r="M69" s="15">
        <f t="shared" si="1"/>
        <v>0.5</v>
      </c>
      <c r="N69" s="5" t="s">
        <v>403</v>
      </c>
    </row>
    <row r="70" spans="1:14" ht="42" customHeight="1">
      <c r="A70" s="11">
        <v>65</v>
      </c>
      <c r="B70" s="12">
        <v>46305.208333333336</v>
      </c>
      <c r="C70" s="11" t="s">
        <v>70</v>
      </c>
      <c r="D70" s="5" t="s">
        <v>229</v>
      </c>
      <c r="E70" s="13" t="s">
        <v>13</v>
      </c>
      <c r="F70" s="13" t="s">
        <v>21</v>
      </c>
      <c r="G70" s="5" t="s">
        <v>230</v>
      </c>
      <c r="H70" s="5" t="s">
        <v>231</v>
      </c>
      <c r="I70" s="5" t="s">
        <v>232</v>
      </c>
      <c r="J70" s="14" t="s">
        <v>89</v>
      </c>
      <c r="K70" s="6" t="s">
        <v>318</v>
      </c>
      <c r="L70" s="6" t="s">
        <v>91</v>
      </c>
      <c r="M70" s="15">
        <f t="shared" ref="M70:M78" si="2">IF(K70="Hoàn thành",1,IF(K70="Chờ kiểm tra",0.8,IF(K70="Đang thực hiện",0.5,IF(K70="Bị vướng",0.25,0))))</f>
        <v>0.5</v>
      </c>
      <c r="N70" s="5" t="s">
        <v>404</v>
      </c>
    </row>
    <row r="71" spans="1:14" ht="42" customHeight="1">
      <c r="A71" s="11">
        <v>66</v>
      </c>
      <c r="B71" s="12">
        <v>46305.208333333336</v>
      </c>
      <c r="C71" s="11" t="s">
        <v>70</v>
      </c>
      <c r="D71" s="5" t="s">
        <v>234</v>
      </c>
      <c r="E71" s="13" t="s">
        <v>18</v>
      </c>
      <c r="F71" s="13" t="s">
        <v>146</v>
      </c>
      <c r="G71" s="5" t="s">
        <v>367</v>
      </c>
      <c r="H71" s="5" t="s">
        <v>368</v>
      </c>
      <c r="I71" s="5" t="s">
        <v>236</v>
      </c>
      <c r="J71" s="14" t="s">
        <v>89</v>
      </c>
      <c r="K71" s="6" t="s">
        <v>318</v>
      </c>
      <c r="L71" s="6" t="s">
        <v>91</v>
      </c>
      <c r="M71" s="15">
        <f t="shared" si="2"/>
        <v>0.5</v>
      </c>
      <c r="N71" s="5" t="s">
        <v>405</v>
      </c>
    </row>
    <row r="72" spans="1:14" ht="42" customHeight="1">
      <c r="A72" s="11">
        <v>67</v>
      </c>
      <c r="B72" s="12">
        <v>46305.208333333336</v>
      </c>
      <c r="C72" s="11" t="s">
        <v>239</v>
      </c>
      <c r="D72" s="5" t="s">
        <v>369</v>
      </c>
      <c r="E72" s="13" t="s">
        <v>18</v>
      </c>
      <c r="F72" s="13" t="s">
        <v>17</v>
      </c>
      <c r="G72" s="5" t="s">
        <v>243</v>
      </c>
      <c r="H72" s="5" t="s">
        <v>35</v>
      </c>
      <c r="I72" s="5" t="s">
        <v>244</v>
      </c>
      <c r="J72" s="14" t="s">
        <v>89</v>
      </c>
      <c r="K72" s="6" t="s">
        <v>90</v>
      </c>
      <c r="L72" s="6" t="s">
        <v>103</v>
      </c>
      <c r="M72" s="15">
        <f t="shared" si="2"/>
        <v>0</v>
      </c>
      <c r="N72" s="5"/>
    </row>
    <row r="73" spans="1:14" ht="42" customHeight="1">
      <c r="A73" s="11">
        <v>68</v>
      </c>
      <c r="B73" s="12">
        <v>46305.208333333336</v>
      </c>
      <c r="C73" s="11" t="s">
        <v>239</v>
      </c>
      <c r="D73" s="5" t="s">
        <v>370</v>
      </c>
      <c r="E73" s="13" t="s">
        <v>17</v>
      </c>
      <c r="F73" s="13" t="s">
        <v>21</v>
      </c>
      <c r="G73" s="5" t="s">
        <v>240</v>
      </c>
      <c r="H73" s="5" t="s">
        <v>241</v>
      </c>
      <c r="I73" s="5" t="s">
        <v>242</v>
      </c>
      <c r="J73" s="14" t="s">
        <v>89</v>
      </c>
      <c r="K73" s="6" t="s">
        <v>90</v>
      </c>
      <c r="L73" s="6" t="s">
        <v>91</v>
      </c>
      <c r="M73" s="15">
        <f t="shared" si="2"/>
        <v>0</v>
      </c>
      <c r="N73" s="5"/>
    </row>
    <row r="74" spans="1:14" ht="42" customHeight="1">
      <c r="A74" s="11">
        <v>69</v>
      </c>
      <c r="B74" s="12">
        <v>46305.208333333336</v>
      </c>
      <c r="C74" s="11" t="s">
        <v>239</v>
      </c>
      <c r="D74" s="5" t="s">
        <v>245</v>
      </c>
      <c r="E74" s="13" t="s">
        <v>13</v>
      </c>
      <c r="F74" s="13" t="s">
        <v>21</v>
      </c>
      <c r="G74" s="5" t="s">
        <v>246</v>
      </c>
      <c r="H74" s="5" t="s">
        <v>371</v>
      </c>
      <c r="I74" s="5" t="s">
        <v>247</v>
      </c>
      <c r="J74" s="14" t="s">
        <v>89</v>
      </c>
      <c r="K74" s="6" t="s">
        <v>318</v>
      </c>
      <c r="L74" s="6" t="s">
        <v>91</v>
      </c>
      <c r="M74" s="15">
        <f t="shared" si="2"/>
        <v>0.5</v>
      </c>
      <c r="N74" s="5" t="s">
        <v>406</v>
      </c>
    </row>
    <row r="75" spans="1:14" ht="42" customHeight="1">
      <c r="A75" s="11">
        <v>70</v>
      </c>
      <c r="B75" s="12">
        <v>46305.208333333336</v>
      </c>
      <c r="C75" s="11" t="s">
        <v>70</v>
      </c>
      <c r="D75" s="5" t="s">
        <v>372</v>
      </c>
      <c r="E75" s="13" t="s">
        <v>13</v>
      </c>
      <c r="F75" s="13" t="s">
        <v>18</v>
      </c>
      <c r="G75" s="5" t="s">
        <v>237</v>
      </c>
      <c r="H75" s="5" t="s">
        <v>32</v>
      </c>
      <c r="I75" s="5" t="s">
        <v>238</v>
      </c>
      <c r="J75" s="14" t="s">
        <v>89</v>
      </c>
      <c r="K75" s="6" t="s">
        <v>90</v>
      </c>
      <c r="L75" s="6" t="s">
        <v>103</v>
      </c>
      <c r="M75" s="15">
        <f t="shared" si="2"/>
        <v>0</v>
      </c>
      <c r="N75" s="5" t="s">
        <v>407</v>
      </c>
    </row>
    <row r="76" spans="1:14" ht="42" customHeight="1">
      <c r="A76" s="11">
        <v>71</v>
      </c>
      <c r="B76" s="12">
        <v>46305.208333333336</v>
      </c>
      <c r="C76" s="11" t="s">
        <v>70</v>
      </c>
      <c r="D76" s="5" t="s">
        <v>373</v>
      </c>
      <c r="E76" s="13" t="s">
        <v>21</v>
      </c>
      <c r="F76" s="13" t="s">
        <v>13</v>
      </c>
      <c r="G76" s="5" t="s">
        <v>233</v>
      </c>
      <c r="H76" s="5" t="s">
        <v>374</v>
      </c>
      <c r="I76" s="5" t="s">
        <v>375</v>
      </c>
      <c r="J76" s="14" t="s">
        <v>89</v>
      </c>
      <c r="K76" s="6" t="s">
        <v>90</v>
      </c>
      <c r="L76" s="6" t="s">
        <v>91</v>
      </c>
      <c r="M76" s="15">
        <f t="shared" si="2"/>
        <v>0</v>
      </c>
      <c r="N76" s="5"/>
    </row>
    <row r="77" spans="1:14" ht="42" customHeight="1">
      <c r="A77" s="11">
        <v>72</v>
      </c>
      <c r="B77" s="12">
        <v>46305.208333333336</v>
      </c>
      <c r="C77" s="11" t="s">
        <v>70</v>
      </c>
      <c r="D77" s="5" t="s">
        <v>376</v>
      </c>
      <c r="E77" s="13" t="s">
        <v>13</v>
      </c>
      <c r="F77" s="13" t="s">
        <v>21</v>
      </c>
      <c r="G77" s="5" t="s">
        <v>377</v>
      </c>
      <c r="H77" s="5" t="s">
        <v>378</v>
      </c>
      <c r="I77" s="5" t="s">
        <v>379</v>
      </c>
      <c r="J77" s="14" t="s">
        <v>89</v>
      </c>
      <c r="K77" s="6" t="s">
        <v>90</v>
      </c>
      <c r="L77" s="6" t="s">
        <v>91</v>
      </c>
      <c r="M77" s="15">
        <f t="shared" si="2"/>
        <v>0</v>
      </c>
      <c r="N77" s="5" t="s">
        <v>408</v>
      </c>
    </row>
    <row r="78" spans="1:14" ht="42" customHeight="1">
      <c r="A78" s="11">
        <v>73</v>
      </c>
      <c r="B78" s="12">
        <v>46305.208333333336</v>
      </c>
      <c r="C78" s="11" t="s">
        <v>239</v>
      </c>
      <c r="D78" s="5" t="s">
        <v>248</v>
      </c>
      <c r="E78" s="13" t="s">
        <v>21</v>
      </c>
      <c r="F78" s="13" t="s">
        <v>13</v>
      </c>
      <c r="G78" s="5" t="s">
        <v>249</v>
      </c>
      <c r="H78" s="5" t="s">
        <v>250</v>
      </c>
      <c r="I78" s="5" t="s">
        <v>251</v>
      </c>
      <c r="J78" s="14" t="s">
        <v>89</v>
      </c>
      <c r="K78" s="6" t="s">
        <v>90</v>
      </c>
      <c r="L78" s="6" t="s">
        <v>91</v>
      </c>
      <c r="M78" s="15">
        <f t="shared" si="2"/>
        <v>0</v>
      </c>
      <c r="N78" s="5"/>
    </row>
    <row r="79" spans="1:14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72BD8DC-F034-4871-B377-26C45C6A3199}" filter="1" showAutoFilter="1">
      <pageMargins left="0.7" right="0.7" top="0.75" bottom="0.75" header="0.3" footer="0.3"/>
      <autoFilter ref="A5:N73" xr:uid="{A5647C0A-31BE-4116-9E56-29B056F53C0B}"/>
    </customSheetView>
  </customSheetViews>
  <mergeCells count="2">
    <mergeCell ref="A2:N2"/>
    <mergeCell ref="A3:N3"/>
  </mergeCells>
  <conditionalFormatting sqref="A6:N78">
    <cfRule type="expression" dxfId="10" priority="10">
      <formula>AND($K6="Hoàn thành",$J6="☐")</formula>
    </cfRule>
    <cfRule type="expression" dxfId="9" priority="11">
      <formula>AND($B6&lt;TODAY(),$K6&lt;&gt;"Hoàn thành")</formula>
    </cfRule>
  </conditionalFormatting>
  <conditionalFormatting sqref="J6:J78">
    <cfRule type="containsText" dxfId="8" priority="1" operator="containsText" text="☑">
      <formula>NOT(ISERROR(SEARCH(("☑"),(J6))))</formula>
    </cfRule>
    <cfRule type="containsText" dxfId="7" priority="2" operator="containsText" text="☐">
      <formula>NOT(ISERROR(SEARCH(("☐"),(J6))))</formula>
    </cfRule>
  </conditionalFormatting>
  <conditionalFormatting sqref="K6:K78">
    <cfRule type="containsText" dxfId="6" priority="3" operator="containsText" text="Hoàn thành">
      <formula>NOT(ISERROR(SEARCH(("Hoàn thành"),(K6))))</formula>
    </cfRule>
    <cfRule type="containsText" dxfId="5" priority="4" operator="containsText" text="Đang thực hiện">
      <formula>NOT(ISERROR(SEARCH(("Đang thực hiện"),(K6))))</formula>
    </cfRule>
    <cfRule type="containsText" dxfId="4" priority="5" operator="containsText" text="Chờ kiểm tra">
      <formula>NOT(ISERROR(SEARCH(("Chờ kiểm tra"),(K6))))</formula>
    </cfRule>
    <cfRule type="containsText" dxfId="3" priority="6" operator="containsText" text="Bị vướng">
      <formula>NOT(ISERROR(SEARCH(("Bị vướng"),(K6))))</formula>
    </cfRule>
    <cfRule type="containsText" dxfId="2" priority="7" operator="containsText" text="Chưa bắt đầu">
      <formula>NOT(ISERROR(SEARCH(("Chưa bắt đầu"),(K6))))</formula>
    </cfRule>
  </conditionalFormatting>
  <conditionalFormatting sqref="L6:L78">
    <cfRule type="containsText" dxfId="1" priority="8" operator="containsText" text="Cao">
      <formula>NOT(ISERROR(SEARCH(("Cao"),(L6))))</formula>
    </cfRule>
    <cfRule type="containsText" dxfId="0" priority="9" operator="containsText" text="Trung bình">
      <formula>NOT(ISERROR(SEARCH(("Trung bình"),(L6))))</formula>
    </cfRule>
  </conditionalFormatting>
  <dataValidations count="3">
    <dataValidation type="list" allowBlank="1" sqref="K6:K78" xr:uid="{00000000-0002-0000-0100-000000000000}">
      <formula1>"Chưa bắt đầu,Đang thực hiện,Chờ kiểm tra,Hoàn thành,Bị vướng"</formula1>
    </dataValidation>
    <dataValidation type="list" allowBlank="1" sqref="L6:L78" xr:uid="{00000000-0002-0000-0100-000001000000}">
      <formula1>"Cao,Trung bình,Thấp"</formula1>
    </dataValidation>
    <dataValidation type="list" allowBlank="1" sqref="J6:J78" xr:uid="{00000000-0002-0000-0100-000002000000}">
      <formula1>"☐,☑"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</vt:lpstr>
      <vt:lpstr>Kế hoạch 10 ngày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Duong Hieu</cp:lastModifiedBy>
  <dcterms:modified xsi:type="dcterms:W3CDTF">2026-10-03T09:36:13Z</dcterms:modified>
</cp:coreProperties>
</file>